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47DC7DE4-CF6E-4C3A-BA70-2DFCCBE889DE}" xr6:coauthVersionLast="47" xr6:coauthVersionMax="47" xr10:uidLastSave="{00000000-0000-0000-0000-000000000000}"/>
  <bookViews>
    <workbookView xWindow="-108" yWindow="-108" windowWidth="23256" windowHeight="12456" activeTab="1" xr2:uid="{24C996D9-AD9D-43ED-8836-4758F53C8142}"/>
  </bookViews>
  <sheets>
    <sheet name="Master Data" sheetId="5" r:id="rId1"/>
    <sheet name="dashboard" sheetId="11" r:id="rId2"/>
    <sheet name="pivot table" sheetId="12" r:id="rId3"/>
  </sheets>
  <definedNames>
    <definedName name="NativeTimeline_Date_of_Joining1">#N/A</definedName>
    <definedName name="Slicer_Department">#N/A</definedName>
    <definedName name="Slicer_Emp_Id">#N/A</definedName>
    <definedName name="Slicer_Location">#N/A</definedName>
    <definedName name="Slicer_Team">#N/A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<sst xmlns="http://schemas.openxmlformats.org/spreadsheetml/2006/main" count="333" uniqueCount="106">
  <si>
    <t>Emp Id</t>
  </si>
  <si>
    <t>Name</t>
  </si>
  <si>
    <t>Department</t>
  </si>
  <si>
    <t>Salary</t>
  </si>
  <si>
    <t>Location</t>
  </si>
  <si>
    <t>Date of Joining</t>
  </si>
  <si>
    <t>Team</t>
  </si>
  <si>
    <t>Revenue Contribution</t>
  </si>
  <si>
    <t>Cost</t>
  </si>
  <si>
    <t>Tasks Assigned</t>
  </si>
  <si>
    <t>Aarti</t>
  </si>
  <si>
    <t>Operations</t>
  </si>
  <si>
    <t>Pune</t>
  </si>
  <si>
    <t>Operations Pune</t>
  </si>
  <si>
    <t>Akanksha</t>
  </si>
  <si>
    <t>Sales</t>
  </si>
  <si>
    <t>Mumbai</t>
  </si>
  <si>
    <t>Sales Mumbai</t>
  </si>
  <si>
    <t>Ananya</t>
  </si>
  <si>
    <t>Support</t>
  </si>
  <si>
    <t>Bangalore</t>
  </si>
  <si>
    <t>Support Bangalore</t>
  </si>
  <si>
    <t>Bhavya</t>
  </si>
  <si>
    <t>Accounts</t>
  </si>
  <si>
    <t>Accounts Pune</t>
  </si>
  <si>
    <t>Charu</t>
  </si>
  <si>
    <t>Operations Mumbai</t>
  </si>
  <si>
    <t>Deepika</t>
  </si>
  <si>
    <t>Sales Bangalore</t>
  </si>
  <si>
    <t>Divya</t>
  </si>
  <si>
    <t>Support Pune</t>
  </si>
  <si>
    <t>Esha</t>
  </si>
  <si>
    <t>Accounts Mumbai</t>
  </si>
  <si>
    <t>Gauri</t>
  </si>
  <si>
    <t>Operations Bangalore</t>
  </si>
  <si>
    <t>Harini</t>
  </si>
  <si>
    <t>Sales Pune</t>
  </si>
  <si>
    <t>Ishita</t>
  </si>
  <si>
    <t>Support Mumbai</t>
  </si>
  <si>
    <t>Juhi</t>
  </si>
  <si>
    <t>Accounts Bangalore</t>
  </si>
  <si>
    <t>Kanika</t>
  </si>
  <si>
    <t>Kritika</t>
  </si>
  <si>
    <t>Lavanya</t>
  </si>
  <si>
    <t>Mitali</t>
  </si>
  <si>
    <t>Nisha</t>
  </si>
  <si>
    <t>Priya</t>
  </si>
  <si>
    <t>Rashi</t>
  </si>
  <si>
    <t>Ritu</t>
  </si>
  <si>
    <t>Sakshi</t>
  </si>
  <si>
    <t>Shreya</t>
  </si>
  <si>
    <t>Tanvi</t>
  </si>
  <si>
    <t>Trisha</t>
  </si>
  <si>
    <t>Urvashi</t>
  </si>
  <si>
    <t>Vaishali</t>
  </si>
  <si>
    <t>Vrinda</t>
  </si>
  <si>
    <t>Yashasvi</t>
  </si>
  <si>
    <t>Zara</t>
  </si>
  <si>
    <t>Aarav</t>
  </si>
  <si>
    <t>Abhinav</t>
  </si>
  <si>
    <t>Akash</t>
  </si>
  <si>
    <t>Amit</t>
  </si>
  <si>
    <t>Anand</t>
  </si>
  <si>
    <t>Arjun</t>
  </si>
  <si>
    <t>Ashwin</t>
  </si>
  <si>
    <t>Bharat</t>
  </si>
  <si>
    <t>Chetan</t>
  </si>
  <si>
    <t>Deepak</t>
  </si>
  <si>
    <t>Devendra</t>
  </si>
  <si>
    <t>Gaurav</t>
  </si>
  <si>
    <t>Girish</t>
  </si>
  <si>
    <t>Hitesh</t>
  </si>
  <si>
    <t>Ishan</t>
  </si>
  <si>
    <t>Jai</t>
  </si>
  <si>
    <t>Karan</t>
  </si>
  <si>
    <t>Kiran</t>
  </si>
  <si>
    <t>Manish</t>
  </si>
  <si>
    <t>Naveen</t>
  </si>
  <si>
    <t>Nitin</t>
  </si>
  <si>
    <t>Omkar</t>
  </si>
  <si>
    <t>Pradeep</t>
  </si>
  <si>
    <t>Rahul</t>
  </si>
  <si>
    <t>Rajesh</t>
  </si>
  <si>
    <t>Sachin</t>
  </si>
  <si>
    <t>Sameer</t>
  </si>
  <si>
    <t>Tarun</t>
  </si>
  <si>
    <t>Uday</t>
  </si>
  <si>
    <t>Varun</t>
  </si>
  <si>
    <t>Vishal</t>
  </si>
  <si>
    <t>Yash</t>
  </si>
  <si>
    <t>Reena</t>
  </si>
  <si>
    <t>Sayali</t>
  </si>
  <si>
    <t>Pooja</t>
  </si>
  <si>
    <t>Neeraj</t>
  </si>
  <si>
    <t>Pranali</t>
  </si>
  <si>
    <t>Mohini</t>
  </si>
  <si>
    <t>Ajay</t>
  </si>
  <si>
    <t>Ramesh</t>
  </si>
  <si>
    <t>Suresh</t>
  </si>
  <si>
    <t>Mahesh</t>
  </si>
  <si>
    <t>Lokesh</t>
  </si>
  <si>
    <t>Row Labels</t>
  </si>
  <si>
    <t>Grand Total</t>
  </si>
  <si>
    <t>Sum of Salary</t>
  </si>
  <si>
    <t>Sum of Revenue Contribution</t>
  </si>
  <si>
    <t>Sum of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</si>
</sst>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0"/>
      <name val="Calibri"/>
      <family val="2"/>
      <scheme val="minor"/>
    </font>
    <font>
      <sz val="11"/>
      <color theme="0"/>
      <name val="Calibri"/>
      <family val="2"/>
    </font>
    <font>
      <sz val="11"/>
      <color theme="1"/>
      <name val="Calibri"/>
      <family val="2"/>
    </font>
    <font>
      <sz val="11"/>
      <color rgb="FF000000"/>
      <name val="Calibri"/>
      <family val="2"/>
    </font>
  </fonts>
  <fills count="5">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0"/>
        <bgColor rgb="FFFFFFFF"/>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2">
    <xf numFmtId="0" fontId="0" fillId="0" borderId="0" xfId="0"/>
    <xf numFmtId="0" fontId="4" fillId="4" borderId="1" xfId="0" applyFont="1" applyFill="1" applyBorder="1" applyAlignment="1">
      <alignment horizontal="center"/>
    </xf>
    <xf numFmtId="0" fontId="0" fillId="0" borderId="1" xfId="0" applyBorder="1" applyAlignment="1">
      <alignment horizontal="center"/>
    </xf>
    <xf numFmtId="14" fontId="0" fillId="0" borderId="1" xfId="0" applyNumberFormat="1" applyBorder="1"/>
    <xf numFmtId="0" fontId="0" fillId="0" borderId="2" xfId="0" applyBorder="1"/>
    <xf numFmtId="0" fontId="0" fillId="0" borderId="3" xfId="0" applyBorder="1" applyAlignment="1">
      <alignment horizontal="center"/>
    </xf>
    <xf numFmtId="1" fontId="0" fillId="0" borderId="3" xfId="0" applyNumberFormat="1" applyBorder="1" applyAlignment="1">
      <alignment horizontal="center"/>
    </xf>
    <xf numFmtId="0" fontId="4" fillId="3" borderId="1" xfId="0" applyFont="1" applyFill="1" applyBorder="1" applyAlignment="1">
      <alignment horizontal="center"/>
    </xf>
    <xf numFmtId="0" fontId="4" fillId="3" borderId="4" xfId="0" applyFont="1" applyFill="1" applyBorder="1" applyAlignment="1">
      <alignment horizontal="center"/>
    </xf>
    <xf numFmtId="0" fontId="0" fillId="0" borderId="4" xfId="0" applyBorder="1" applyAlignment="1">
      <alignment horizontal="center"/>
    </xf>
    <xf numFmtId="14" fontId="0" fillId="0" borderId="4" xfId="0" applyNumberFormat="1" applyBorder="1"/>
    <xf numFmtId="0" fontId="0" fillId="0" borderId="5" xfId="0" applyBorder="1"/>
    <xf numFmtId="0" fontId="3" fillId="3" borderId="6" xfId="0" applyFont="1" applyFill="1" applyBorder="1" applyAlignment="1">
      <alignment horizontal="center"/>
    </xf>
    <xf numFmtId="0" fontId="3" fillId="3" borderId="7" xfId="0" applyFont="1" applyFill="1" applyBorder="1" applyAlignment="1">
      <alignment horizontal="center"/>
    </xf>
    <xf numFmtId="0" fontId="2" fillId="2" borderId="8" xfId="0" applyFont="1" applyFill="1" applyBorder="1" applyAlignment="1">
      <alignment horizontal="center"/>
    </xf>
    <xf numFmtId="0" fontId="2" fillId="2" borderId="3" xfId="0" applyFont="1" applyFill="1" applyBorder="1" applyAlignment="1">
      <alignment horizontal="center"/>
    </xf>
    <xf numFmtId="0" fontId="1" fillId="2" borderId="3" xfId="0" applyFont="1" applyFill="1" applyBorder="1" applyAlignment="1">
      <alignment horizontal="center"/>
    </xf>
    <xf numFmtId="0" fontId="1" fillId="2" borderId="9" xfId="0" applyFont="1" applyFill="1" applyBorder="1" applyAlignment="1">
      <alignment horizontal="center"/>
    </xf>
    <xf numFmtId="0" fontId="0" fillId="0" borderId="2" xfId="0" applyBorder="1" applyAlignment="1">
      <alignment horizontal="center"/>
    </xf>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19">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numFmt numFmtId="164" formatCode="dd/mm/yyyy"/>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rder>
    </dxf>
    <dxf>
      <border outline="0">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sz val="11"/>
        <color theme="1"/>
      </font>
    </dxf>
    <dxf>
      <fill>
        <patternFill patternType="solid">
          <fgColor theme="0"/>
          <bgColor theme="0"/>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s>
  <tableStyles count="3" defaultTableStyle="TableStyleMedium2" defaultPivotStyle="PivotStyleLight16">
    <tableStyle name="Slicer Style 1" pivot="0" table="0" count="1" xr9:uid="{AF75B1E9-476B-4CCC-9D16-96CF8A83191D}">
      <tableStyleElement type="wholeTable" dxfId="18"/>
    </tableStyle>
    <tableStyle name="Slicer Style 1 2" pivot="0" table="0" count="3" xr9:uid="{D9980BF9-2BA4-4409-8CE6-375B1E6AF322}">
      <tableStyleElement type="wholeTable" dxfId="17"/>
    </tableStyle>
    <tableStyle name="Timeline Style 1" pivot="0" table="0" count="8" xr9:uid="{46058B27-1043-4D46-9AB7-34BCBB3E9FE4}">
      <tableStyleElement type="wholeTable" dxfId="16"/>
      <tableStyleElement type="headerRow" dxfId="15"/>
    </tableStyle>
  </tableStyles>
  <extLst>
    <ext xmlns:x14="http://schemas.microsoft.com/office/spreadsheetml/2009/9/main" uri="{46F421CA-312F-682f-3DD2-61675219B42D}">
      <x14:dxfs count="2">
        <dxf>
          <fill>
            <patternFill>
              <bgColor theme="4"/>
            </patternFill>
          </fill>
        </dxf>
        <dxf>
          <fill>
            <patternFill>
              <bgColor theme="4"/>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1 2">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dynamic dashboard h.w.xlsx]pivot table!PivotTable1</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table'!$B$3:$B$7</c:f>
              <c:strCache>
                <c:ptCount val="4"/>
                <c:pt idx="0">
                  <c:v>Accounts</c:v>
                </c:pt>
                <c:pt idx="1">
                  <c:v>Operations</c:v>
                </c:pt>
                <c:pt idx="2">
                  <c:v>Sales</c:v>
                </c:pt>
                <c:pt idx="3">
                  <c:v>Support</c:v>
                </c:pt>
              </c:strCache>
            </c:strRef>
          </c:cat>
          <c:val>
            <c:numRef>
              <c:f>'pivot table'!$C$3:$C$7</c:f>
              <c:numCache>
                <c:formatCode>General</c:formatCode>
                <c:ptCount val="4"/>
                <c:pt idx="0">
                  <c:v>578591</c:v>
                </c:pt>
                <c:pt idx="1">
                  <c:v>690021</c:v>
                </c:pt>
                <c:pt idx="2">
                  <c:v>568459</c:v>
                </c:pt>
                <c:pt idx="3">
                  <c:v>649002</c:v>
                </c:pt>
              </c:numCache>
            </c:numRef>
          </c:val>
          <c:extLst>
            <c:ext xmlns:c16="http://schemas.microsoft.com/office/drawing/2014/chart" uri="{C3380CC4-5D6E-409C-BE32-E72D297353CC}">
              <c16:uniqueId val="{00000000-0F40-42D7-BFD0-7A0A1E654EDA}"/>
            </c:ext>
          </c:extLst>
        </c:ser>
        <c:dLbls>
          <c:showLegendKey val="0"/>
          <c:showVal val="1"/>
          <c:showCatName val="0"/>
          <c:showSerName val="0"/>
          <c:showPercent val="0"/>
          <c:showBubbleSize val="0"/>
        </c:dLbls>
        <c:gapWidth val="150"/>
        <c:shape val="box"/>
        <c:axId val="1094072703"/>
        <c:axId val="1094067903"/>
        <c:axId val="1584685615"/>
      </c:bar3DChart>
      <c:catAx>
        <c:axId val="1094072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4067903"/>
        <c:crosses val="autoZero"/>
        <c:auto val="1"/>
        <c:lblAlgn val="ctr"/>
        <c:lblOffset val="100"/>
        <c:noMultiLvlLbl val="0"/>
      </c:catAx>
      <c:valAx>
        <c:axId val="109406790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4072703"/>
        <c:crosses val="autoZero"/>
        <c:crossBetween val="between"/>
      </c:valAx>
      <c:serAx>
        <c:axId val="15846856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406790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dynamic dashboard h.w.xlsx]pivot table!PivotTable2</c:name>
    <c:fmtId val="54"/>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table'!$C$19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659-4D8D-9ABE-9155D8C79C3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659-4D8D-9ABE-9155D8C79C3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659-4D8D-9ABE-9155D8C79C39}"/>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table'!$B$20:$B$23</c:f>
              <c:strCache>
                <c:ptCount val="3"/>
                <c:pt idx="0">
                  <c:v>Bangalore</c:v>
                </c:pt>
                <c:pt idx="1">
                  <c:v>Mumbai</c:v>
                </c:pt>
                <c:pt idx="2">
                  <c:v>Pune</c:v>
                </c:pt>
              </c:strCache>
            </c:strRef>
          </c:cat>
          <c:val>
            <c:numRef>
              <c:f>'pivot table'!$C$20:$C$23</c:f>
              <c:numCache>
                <c:formatCode>General</c:formatCode>
                <c:ptCount val="3"/>
                <c:pt idx="0">
                  <c:v>815173</c:v>
                </c:pt>
                <c:pt idx="1">
                  <c:v>844009</c:v>
                </c:pt>
                <c:pt idx="2">
                  <c:v>826891</c:v>
                </c:pt>
              </c:numCache>
            </c:numRef>
          </c:val>
          <c:extLst>
            <c:ext xmlns:c16="http://schemas.microsoft.com/office/drawing/2014/chart" uri="{C3380CC4-5D6E-409C-BE32-E72D297353CC}">
              <c16:uniqueId val="{00000006-5659-4D8D-9ABE-9155D8C79C3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dynamic dashboard h.w.xlsx]pivot table!PivotTable3</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table'!$B$35:$B$47</c:f>
              <c:strCache>
                <c:ptCount val="12"/>
                <c:pt idx="0">
                  <c:v>Accounts Bangalore</c:v>
                </c:pt>
                <c:pt idx="1">
                  <c:v>Accounts Mumbai</c:v>
                </c:pt>
                <c:pt idx="2">
                  <c:v>Accounts Pune</c:v>
                </c:pt>
                <c:pt idx="3">
                  <c:v>Operations Bangalore</c:v>
                </c:pt>
                <c:pt idx="4">
                  <c:v>Operations Mumbai</c:v>
                </c:pt>
                <c:pt idx="5">
                  <c:v>Operations Pune</c:v>
                </c:pt>
                <c:pt idx="6">
                  <c:v>Sales Bangalore</c:v>
                </c:pt>
                <c:pt idx="7">
                  <c:v>Sales Mumbai</c:v>
                </c:pt>
                <c:pt idx="8">
                  <c:v>Sales Pune</c:v>
                </c:pt>
                <c:pt idx="9">
                  <c:v>Support Bangalore</c:v>
                </c:pt>
                <c:pt idx="10">
                  <c:v>Support Mumbai</c:v>
                </c:pt>
                <c:pt idx="11">
                  <c:v>Support Pune</c:v>
                </c:pt>
              </c:strCache>
            </c:strRef>
          </c:cat>
          <c:val>
            <c:numRef>
              <c:f>'pivot table'!$C$35:$C$47</c:f>
              <c:numCache>
                <c:formatCode>General</c:formatCode>
                <c:ptCount val="12"/>
                <c:pt idx="0">
                  <c:v>0</c:v>
                </c:pt>
                <c:pt idx="1">
                  <c:v>0</c:v>
                </c:pt>
                <c:pt idx="2">
                  <c:v>0</c:v>
                </c:pt>
                <c:pt idx="3">
                  <c:v>0</c:v>
                </c:pt>
                <c:pt idx="4">
                  <c:v>0</c:v>
                </c:pt>
                <c:pt idx="5">
                  <c:v>0</c:v>
                </c:pt>
                <c:pt idx="6">
                  <c:v>4194677</c:v>
                </c:pt>
                <c:pt idx="7">
                  <c:v>2640416</c:v>
                </c:pt>
                <c:pt idx="8">
                  <c:v>2965336</c:v>
                </c:pt>
                <c:pt idx="9">
                  <c:v>0</c:v>
                </c:pt>
                <c:pt idx="10">
                  <c:v>0</c:v>
                </c:pt>
                <c:pt idx="11">
                  <c:v>0</c:v>
                </c:pt>
              </c:numCache>
            </c:numRef>
          </c:val>
          <c:smooth val="0"/>
          <c:extLst>
            <c:ext xmlns:c16="http://schemas.microsoft.com/office/drawing/2014/chart" uri="{C3380CC4-5D6E-409C-BE32-E72D297353CC}">
              <c16:uniqueId val="{00000000-255C-479E-8ECF-2983AE16A474}"/>
            </c:ext>
          </c:extLst>
        </c:ser>
        <c:dLbls>
          <c:showLegendKey val="0"/>
          <c:showVal val="0"/>
          <c:showCatName val="0"/>
          <c:showSerName val="0"/>
          <c:showPercent val="0"/>
          <c:showBubbleSize val="0"/>
        </c:dLbls>
        <c:marker val="1"/>
        <c:smooth val="0"/>
        <c:axId val="1094109663"/>
        <c:axId val="1094108703"/>
      </c:lineChart>
      <c:catAx>
        <c:axId val="10941096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108703"/>
        <c:crosses val="autoZero"/>
        <c:auto val="1"/>
        <c:lblAlgn val="ctr"/>
        <c:lblOffset val="100"/>
        <c:noMultiLvlLbl val="0"/>
      </c:catAx>
      <c:valAx>
        <c:axId val="10941087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10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dynamic dashboard h.w.xlsx]pivot table!PivotTable4</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table'!$C$62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table'!$B$63:$B$67</c:f>
              <c:strCache>
                <c:ptCount val="4"/>
                <c:pt idx="0">
                  <c:v>Accounts</c:v>
                </c:pt>
                <c:pt idx="1">
                  <c:v>Operations</c:v>
                </c:pt>
                <c:pt idx="2">
                  <c:v>Sales</c:v>
                </c:pt>
                <c:pt idx="3">
                  <c:v>Support</c:v>
                </c:pt>
              </c:strCache>
            </c:strRef>
          </c:cat>
          <c:val>
            <c:numRef>
              <c:f>'pivot table'!$C$63:$C$67</c:f>
              <c:numCache>
                <c:formatCode>0</c:formatCode>
                <c:ptCount val="4"/>
                <c:pt idx="0">
                  <c:v>607520.55000000005</c:v>
                </c:pt>
                <c:pt idx="1">
                  <c:v>729457.79999999993</c:v>
                </c:pt>
                <c:pt idx="2">
                  <c:v>596881.95000000019</c:v>
                </c:pt>
                <c:pt idx="3">
                  <c:v>681452.1</c:v>
                </c:pt>
              </c:numCache>
            </c:numRef>
          </c:val>
          <c:extLst>
            <c:ext xmlns:c16="http://schemas.microsoft.com/office/drawing/2014/chart" uri="{C3380CC4-5D6E-409C-BE32-E72D297353CC}">
              <c16:uniqueId val="{00000000-C0A7-4071-AB59-89A1A55E3FD2}"/>
            </c:ext>
          </c:extLst>
        </c:ser>
        <c:dLbls>
          <c:showLegendKey val="0"/>
          <c:showVal val="0"/>
          <c:showCatName val="0"/>
          <c:showSerName val="0"/>
          <c:showPercent val="0"/>
          <c:showBubbleSize val="0"/>
        </c:dLbls>
        <c:gapWidth val="182"/>
        <c:overlap val="-50"/>
        <c:axId val="1097500671"/>
        <c:axId val="1094066463"/>
      </c:barChart>
      <c:catAx>
        <c:axId val="109750067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066463"/>
        <c:crosses val="autoZero"/>
        <c:auto val="1"/>
        <c:lblAlgn val="ctr"/>
        <c:lblOffset val="100"/>
        <c:noMultiLvlLbl val="0"/>
      </c:catAx>
      <c:valAx>
        <c:axId val="109406646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750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411480</xdr:colOff>
      <xdr:row>0</xdr:row>
      <xdr:rowOff>114300</xdr:rowOff>
    </xdr:from>
    <xdr:to>
      <xdr:col>21</xdr:col>
      <xdr:colOff>472440</xdr:colOff>
      <xdr:row>27</xdr:row>
      <xdr:rowOff>0</xdr:rowOff>
    </xdr:to>
    <xdr:grpSp>
      <xdr:nvGrpSpPr>
        <xdr:cNvPr id="21" name="Group 20">
          <a:extLst>
            <a:ext uri="{FF2B5EF4-FFF2-40B4-BE49-F238E27FC236}">
              <a16:creationId xmlns:a16="http://schemas.microsoft.com/office/drawing/2014/main" id="{EE91E8AD-95C4-A8E4-FA9A-2FE4B22310E5}"/>
            </a:ext>
          </a:extLst>
        </xdr:cNvPr>
        <xdr:cNvGrpSpPr/>
      </xdr:nvGrpSpPr>
      <xdr:grpSpPr>
        <a:xfrm>
          <a:off x="411480" y="114300"/>
          <a:ext cx="12862560" cy="4823460"/>
          <a:chOff x="129540" y="91440"/>
          <a:chExt cx="13860780" cy="5501640"/>
        </a:xfrm>
      </xdr:grpSpPr>
      <xdr:sp macro="" textlink="">
        <xdr:nvSpPr>
          <xdr:cNvPr id="2" name="Rectangle: Rounded Corners 1">
            <a:extLst>
              <a:ext uri="{FF2B5EF4-FFF2-40B4-BE49-F238E27FC236}">
                <a16:creationId xmlns:a16="http://schemas.microsoft.com/office/drawing/2014/main" id="{95FF6328-A77B-FC93-BF72-2F538BC2DCA4}"/>
              </a:ext>
            </a:extLst>
          </xdr:cNvPr>
          <xdr:cNvSpPr/>
        </xdr:nvSpPr>
        <xdr:spPr>
          <a:xfrm>
            <a:off x="129540" y="91440"/>
            <a:ext cx="13860780" cy="5501640"/>
          </a:xfrm>
          <a:prstGeom prst="roundRect">
            <a:avLst>
              <a:gd name="adj" fmla="val 5431"/>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D09A96C3-FA49-D2CB-190E-53819923741B}"/>
              </a:ext>
            </a:extLst>
          </xdr:cNvPr>
          <xdr:cNvSpPr/>
        </xdr:nvSpPr>
        <xdr:spPr>
          <a:xfrm>
            <a:off x="3337560" y="152400"/>
            <a:ext cx="10599420" cy="5341620"/>
          </a:xfrm>
          <a:prstGeom prst="roundRect">
            <a:avLst>
              <a:gd name="adj" fmla="val 4238"/>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noFill/>
              </a:ln>
            </a:endParaRPr>
          </a:p>
        </xdr:txBody>
      </xdr:sp>
      <mc:AlternateContent xmlns:mc="http://schemas.openxmlformats.org/markup-compatibility/2006">
        <mc:Choice xmlns:tsle="http://schemas.microsoft.com/office/drawing/2012/timeslicer" Requires="tsle">
          <xdr:graphicFrame macro="">
            <xdr:nvGraphicFramePr>
              <xdr:cNvPr id="4" name="Date of Joining">
                <a:extLst>
                  <a:ext uri="{FF2B5EF4-FFF2-40B4-BE49-F238E27FC236}">
                    <a16:creationId xmlns:a16="http://schemas.microsoft.com/office/drawing/2014/main" id="{277CE551-625D-4DEE-979A-2B737824F379}"/>
                  </a:ext>
                </a:extLst>
              </xdr:cNvPr>
              <xdr:cNvGraphicFramePr/>
            </xdr:nvGraphicFramePr>
            <xdr:xfrm>
              <a:off x="3550920" y="274320"/>
              <a:ext cx="5875020" cy="922020"/>
            </xdr:xfrm>
            <a:graphic>
              <a:graphicData uri="http://schemas.microsoft.com/office/drawing/2012/timeslicer">
                <tsle:timeslicer xmlns:tsle="http://schemas.microsoft.com/office/drawing/2012/timeslicer" name="Date of Joining"/>
              </a:graphicData>
            </a:graphic>
          </xdr:graphicFrame>
        </mc:Choice>
        <mc:Fallback>
          <xdr:sp macro="" textlink="">
            <xdr:nvSpPr>
              <xdr:cNvPr id="0" name=""/>
              <xdr:cNvSpPr>
                <a:spLocks noTextEdit="1"/>
              </xdr:cNvSpPr>
            </xdr:nvSpPr>
            <xdr:spPr>
              <a:xfrm>
                <a:off x="3586460" y="274637"/>
                <a:ext cx="5451915" cy="8083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5" name="Location">
                <a:extLst>
                  <a:ext uri="{FF2B5EF4-FFF2-40B4-BE49-F238E27FC236}">
                    <a16:creationId xmlns:a16="http://schemas.microsoft.com/office/drawing/2014/main" id="{518B5B1A-7421-44A4-9A0D-7FFBCCEE726C}"/>
                  </a:ext>
                </a:extLst>
              </xdr:cNvPr>
              <xdr:cNvGraphicFramePr/>
            </xdr:nvGraphicFramePr>
            <xdr:xfrm>
              <a:off x="9806940" y="274321"/>
              <a:ext cx="4023360" cy="92202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9391937" y="274637"/>
                <a:ext cx="3733607" cy="808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98DABFA8-4F1C-49D3-9759-C82D61D05820}"/>
                  </a:ext>
                </a:extLst>
              </xdr:cNvPr>
              <xdr:cNvGraphicFramePr/>
            </xdr:nvGraphicFramePr>
            <xdr:xfrm>
              <a:off x="320040" y="1844041"/>
              <a:ext cx="2560320" cy="118872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88261" y="1650860"/>
                <a:ext cx="2375932" cy="1042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7" name="Chart 6">
            <a:extLst>
              <a:ext uri="{FF2B5EF4-FFF2-40B4-BE49-F238E27FC236}">
                <a16:creationId xmlns:a16="http://schemas.microsoft.com/office/drawing/2014/main" id="{91CA182B-4959-4A6A-8F1F-1BBA0EF2CFCD}"/>
              </a:ext>
            </a:extLst>
          </xdr:cNvPr>
          <xdr:cNvGraphicFramePr>
            <a:graphicFrameLocks/>
          </xdr:cNvGraphicFramePr>
        </xdr:nvGraphicFramePr>
        <xdr:xfrm>
          <a:off x="3550920" y="1866900"/>
          <a:ext cx="4853940" cy="1737360"/>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graphicFrame macro="">
            <xdr:nvGraphicFramePr>
              <xdr:cNvPr id="8" name="Team">
                <a:extLst>
                  <a:ext uri="{FF2B5EF4-FFF2-40B4-BE49-F238E27FC236}">
                    <a16:creationId xmlns:a16="http://schemas.microsoft.com/office/drawing/2014/main" id="{3BDE2174-18BB-49AD-B580-0C266BB43168}"/>
                  </a:ext>
                </a:extLst>
              </xdr:cNvPr>
              <xdr:cNvGraphicFramePr/>
            </xdr:nvGraphicFramePr>
            <xdr:xfrm>
              <a:off x="327660" y="3108960"/>
              <a:ext cx="2552700" cy="118872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595332" y="2759854"/>
                <a:ext cx="2368861" cy="1042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Emp Id">
                <a:extLst>
                  <a:ext uri="{FF2B5EF4-FFF2-40B4-BE49-F238E27FC236}">
                    <a16:creationId xmlns:a16="http://schemas.microsoft.com/office/drawing/2014/main" id="{13C59E3B-720D-4DD6-8560-A597F6A2F93B}"/>
                  </a:ext>
                </a:extLst>
              </xdr:cNvPr>
              <xdr:cNvGraphicFramePr/>
            </xdr:nvGraphicFramePr>
            <xdr:xfrm>
              <a:off x="327660" y="4358640"/>
              <a:ext cx="2560320" cy="1005840"/>
            </xdr:xfrm>
            <a:graphic>
              <a:graphicData uri="http://schemas.microsoft.com/office/drawing/2010/slicer">
                <sle:slicer xmlns:sle="http://schemas.microsoft.com/office/drawing/2010/slicer" name="Emp Id"/>
              </a:graphicData>
            </a:graphic>
          </xdr:graphicFrame>
        </mc:Choice>
        <mc:Fallback>
          <xdr:sp macro="" textlink="">
            <xdr:nvSpPr>
              <xdr:cNvPr id="0" name=""/>
              <xdr:cNvSpPr>
                <a:spLocks noTextEdit="1"/>
              </xdr:cNvSpPr>
            </xdr:nvSpPr>
            <xdr:spPr>
              <a:xfrm>
                <a:off x="595332" y="3855488"/>
                <a:ext cx="2375932" cy="881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2" name="Rectangle 11">
            <a:extLst>
              <a:ext uri="{FF2B5EF4-FFF2-40B4-BE49-F238E27FC236}">
                <a16:creationId xmlns:a16="http://schemas.microsoft.com/office/drawing/2014/main" id="{38254216-17EF-FFBF-8BA4-11FB235FE6C7}"/>
              </a:ext>
            </a:extLst>
          </xdr:cNvPr>
          <xdr:cNvSpPr/>
        </xdr:nvSpPr>
        <xdr:spPr>
          <a:xfrm>
            <a:off x="3779520" y="1318260"/>
            <a:ext cx="3048000" cy="853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n>
                  <a:noFill/>
                </a:ln>
                <a:solidFill>
                  <a:schemeClr val="tx1"/>
                </a:solidFill>
              </a:rPr>
              <a:t> A N A L Y T I C S</a:t>
            </a:r>
          </a:p>
        </xdr:txBody>
      </xdr:sp>
      <xdr:graphicFrame macro="">
        <xdr:nvGraphicFramePr>
          <xdr:cNvPr id="13" name="Chart 12">
            <a:extLst>
              <a:ext uri="{FF2B5EF4-FFF2-40B4-BE49-F238E27FC236}">
                <a16:creationId xmlns:a16="http://schemas.microsoft.com/office/drawing/2014/main" id="{6703B2A4-5386-4E57-83AB-F1488383ED35}"/>
              </a:ext>
            </a:extLst>
          </xdr:cNvPr>
          <xdr:cNvGraphicFramePr>
            <a:graphicFrameLocks/>
          </xdr:cNvGraphicFramePr>
        </xdr:nvGraphicFramePr>
        <xdr:xfrm>
          <a:off x="8747760" y="1851660"/>
          <a:ext cx="4953000" cy="173736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A6AB0B69-E844-4DF7-ACC9-49F43B3DDB5D}"/>
              </a:ext>
            </a:extLst>
          </xdr:cNvPr>
          <xdr:cNvGraphicFramePr>
            <a:graphicFrameLocks/>
          </xdr:cNvGraphicFramePr>
        </xdr:nvGraphicFramePr>
        <xdr:xfrm>
          <a:off x="3550920" y="3703320"/>
          <a:ext cx="4869180" cy="16840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4" name="Chart 13">
            <a:extLst>
              <a:ext uri="{FF2B5EF4-FFF2-40B4-BE49-F238E27FC236}">
                <a16:creationId xmlns:a16="http://schemas.microsoft.com/office/drawing/2014/main" id="{E6580A4C-E60B-41F3-82A6-F9BED368038E}"/>
              </a:ext>
            </a:extLst>
          </xdr:cNvPr>
          <xdr:cNvGraphicFramePr>
            <a:graphicFrameLocks/>
          </xdr:cNvGraphicFramePr>
        </xdr:nvGraphicFramePr>
        <xdr:xfrm>
          <a:off x="8755380" y="3726180"/>
          <a:ext cx="4937760" cy="165354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7" name="Rectangle: Rounded Corners 16">
            <a:extLst>
              <a:ext uri="{FF2B5EF4-FFF2-40B4-BE49-F238E27FC236}">
                <a16:creationId xmlns:a16="http://schemas.microsoft.com/office/drawing/2014/main" id="{44891CCA-3D6F-23EF-1279-72B9B1C0A315}"/>
              </a:ext>
            </a:extLst>
          </xdr:cNvPr>
          <xdr:cNvSpPr/>
        </xdr:nvSpPr>
        <xdr:spPr>
          <a:xfrm>
            <a:off x="335280" y="1097280"/>
            <a:ext cx="2788920" cy="944880"/>
          </a:xfrm>
          <a:prstGeom prst="roundRect">
            <a:avLst/>
          </a:prstGeom>
          <a:no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2800" b="1">
                <a:latin typeface="Freestyle Script" panose="030804020302050B0404" pitchFamily="66" charset="0"/>
              </a:rPr>
              <a:t>S A L E S F O R C E </a:t>
            </a:r>
            <a:endParaRPr lang="en-IN" sz="1100" b="1">
              <a:latin typeface="Freestyle Script" panose="030804020302050B0404" pitchFamily="66" charset="0"/>
            </a:endParaRPr>
          </a:p>
        </xdr:txBody>
      </xdr:sp>
      <xdr:pic>
        <xdr:nvPicPr>
          <xdr:cNvPr id="19" name="Graphic 18" descr="Cloud Computing with solid fill">
            <a:extLst>
              <a:ext uri="{FF2B5EF4-FFF2-40B4-BE49-F238E27FC236}">
                <a16:creationId xmlns:a16="http://schemas.microsoft.com/office/drawing/2014/main" id="{F02E5367-BD84-E8AE-B737-0211B2D794C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40180" y="312420"/>
            <a:ext cx="746760" cy="746760"/>
          </a:xfrm>
          <a:prstGeom prst="rect">
            <a:avLst/>
          </a:prstGeom>
        </xdr:spPr>
      </xdr:pic>
    </xdr:grpSp>
    <xdr:clientData/>
  </xdr:twoCellAnchor>
  <xdr:twoCellAnchor editAs="oneCell">
    <xdr:from>
      <xdr:col>5</xdr:col>
      <xdr:colOff>525780</xdr:colOff>
      <xdr:row>6</xdr:row>
      <xdr:rowOff>167640</xdr:rowOff>
    </xdr:from>
    <xdr:to>
      <xdr:col>6</xdr:col>
      <xdr:colOff>525780</xdr:colOff>
      <xdr:row>10</xdr:row>
      <xdr:rowOff>45720</xdr:rowOff>
    </xdr:to>
    <xdr:pic>
      <xdr:nvPicPr>
        <xdr:cNvPr id="15" name="Picture 14" descr="Analytics ">
          <a:extLst>
            <a:ext uri="{FF2B5EF4-FFF2-40B4-BE49-F238E27FC236}">
              <a16:creationId xmlns:a16="http://schemas.microsoft.com/office/drawing/2014/main" id="{CA3AAD03-C0E7-3E5C-B7FC-F3F80C5649C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573780" y="1264920"/>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7.615358912037" createdVersion="8" refreshedVersion="8" minRefreshableVersion="3" recordCount="72" xr:uid="{1A15B1AF-A575-4E58-9758-B00F7E753D67}">
  <cacheSource type="worksheet">
    <worksheetSource name="MasterDB"/>
  </cacheSource>
  <cacheFields count="10">
    <cacheField name="Emp Id" numFmtId="0">
      <sharedItems containsSemiMixedTypes="0" containsString="0" containsNumber="1" containsInteger="1" minValue="101" maxValue="172" count="72">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sharedItems>
    </cacheField>
    <cacheField name="Name" numFmtId="0">
      <sharedItems/>
    </cacheField>
    <cacheField name="Department" numFmtId="0">
      <sharedItems count="4">
        <s v="Operations"/>
        <s v="Sales"/>
        <s v="Support"/>
        <s v="Accounts"/>
      </sharedItems>
    </cacheField>
    <cacheField name="Salary" numFmtId="0">
      <sharedItems containsSemiMixedTypes="0" containsString="0" containsNumber="1" containsInteger="1" minValue="20868" maxValue="49780" count="72">
        <n v="32905"/>
        <n v="34017"/>
        <n v="32512"/>
        <n v="36723"/>
        <n v="29405"/>
        <n v="23167"/>
        <n v="32613"/>
        <n v="31212"/>
        <n v="40827"/>
        <n v="46116"/>
        <n v="46349"/>
        <n v="34847"/>
        <n v="23670"/>
        <n v="21951"/>
        <n v="48095"/>
        <n v="39604"/>
        <n v="42771"/>
        <n v="23368"/>
        <n v="44168"/>
        <n v="27872"/>
        <n v="46784"/>
        <n v="44403"/>
        <n v="48277"/>
        <n v="39775"/>
        <n v="38171"/>
        <n v="44610"/>
        <n v="49099"/>
        <n v="20868"/>
        <n v="35361"/>
        <n v="35119"/>
        <n v="24477"/>
        <n v="39823"/>
        <n v="26744"/>
        <n v="30799"/>
        <n v="41094"/>
        <n v="32637"/>
        <n v="49630"/>
        <n v="30486"/>
        <n v="24936"/>
        <n v="47658"/>
        <n v="48091"/>
        <n v="30519"/>
        <n v="24057"/>
        <n v="27781"/>
        <n v="40277"/>
        <n v="31124"/>
        <n v="31589"/>
        <n v="33233"/>
        <n v="30769"/>
        <n v="23948"/>
        <n v="23337"/>
        <n v="34528"/>
        <n v="48999"/>
        <n v="23084"/>
        <n v="49780"/>
        <n v="27874"/>
        <n v="38786"/>
        <n v="37648"/>
        <n v="26543"/>
        <n v="33432"/>
        <n v="33370"/>
        <n v="27953"/>
        <n v="39023"/>
        <n v="22442"/>
        <n v="39972"/>
        <n v="30231"/>
        <n v="21452"/>
        <n v="26430"/>
        <n v="43489"/>
        <n v="29916"/>
        <n v="41601"/>
        <n v="21852"/>
      </sharedItems>
    </cacheField>
    <cacheField name="Location" numFmtId="0">
      <sharedItems count="3">
        <s v="Pune"/>
        <s v="Mumbai"/>
        <s v="Bangalore"/>
      </sharedItems>
    </cacheField>
    <cacheField name="Date of Joining" numFmtId="14">
      <sharedItems containsSemiMixedTypes="0" containsNonDate="0" containsDate="1" containsString="0" minDate="2023-03-17T00:00:00" maxDate="2023-07-22T00:00:00" count="56">
        <d v="2023-06-02T00:00:00"/>
        <d v="2023-06-17T00:00:00"/>
        <d v="2023-04-26T00:00:00"/>
        <d v="2023-06-19T00:00:00"/>
        <d v="2023-04-04T00:00:00"/>
        <d v="2023-06-29T00:00:00"/>
        <d v="2023-04-06T00:00:00"/>
        <d v="2023-04-05T00:00:00"/>
        <d v="2023-04-07T00:00:00"/>
        <d v="2023-03-21T00:00:00"/>
        <d v="2023-06-28T00:00:00"/>
        <d v="2023-04-13T00:00:00"/>
        <d v="2023-05-31T00:00:00"/>
        <d v="2023-07-21T00:00:00"/>
        <d v="2023-06-25T00:00:00"/>
        <d v="2023-04-23T00:00:00"/>
        <d v="2023-07-20T00:00:00"/>
        <d v="2023-06-08T00:00:00"/>
        <d v="2023-06-18T00:00:00"/>
        <d v="2023-03-28T00:00:00"/>
        <d v="2023-07-17T00:00:00"/>
        <d v="2023-06-30T00:00:00"/>
        <d v="2023-04-29T00:00:00"/>
        <d v="2023-07-19T00:00:00"/>
        <d v="2023-04-01T00:00:00"/>
        <d v="2023-05-27T00:00:00"/>
        <d v="2023-03-24T00:00:00"/>
        <d v="2023-06-23T00:00:00"/>
        <d v="2023-07-12T00:00:00"/>
        <d v="2023-06-05T00:00:00"/>
        <d v="2023-03-26T00:00:00"/>
        <d v="2023-05-13T00:00:00"/>
        <d v="2023-05-16T00:00:00"/>
        <d v="2023-07-15T00:00:00"/>
        <d v="2023-07-02T00:00:00"/>
        <d v="2023-03-27T00:00:00"/>
        <d v="2023-07-07T00:00:00"/>
        <d v="2023-06-16T00:00:00"/>
        <d v="2023-07-09T00:00:00"/>
        <d v="2023-06-03T00:00:00"/>
        <d v="2023-06-15T00:00:00"/>
        <d v="2023-07-08T00:00:00"/>
        <d v="2023-05-25T00:00:00"/>
        <d v="2023-04-11T00:00:00"/>
        <d v="2023-05-15T00:00:00"/>
        <d v="2023-04-28T00:00:00"/>
        <d v="2023-07-16T00:00:00"/>
        <d v="2023-03-29T00:00:00"/>
        <d v="2023-06-22T00:00:00"/>
        <d v="2023-06-11T00:00:00"/>
        <d v="2023-04-09T00:00:00"/>
        <d v="2023-06-21T00:00:00"/>
        <d v="2023-07-05T00:00:00"/>
        <d v="2023-04-21T00:00:00"/>
        <d v="2023-03-17T00:00:00"/>
        <d v="2023-05-21T00:00:00"/>
      </sharedItems>
    </cacheField>
    <cacheField name="Team" numFmtId="0">
      <sharedItems count="12">
        <s v="Operations Pune"/>
        <s v="Sales Mumbai"/>
        <s v="Support Bangalore"/>
        <s v="Accounts Pune"/>
        <s v="Operations Mumbai"/>
        <s v="Sales Bangalore"/>
        <s v="Support Pune"/>
        <s v="Accounts Mumbai"/>
        <s v="Operations Bangalore"/>
        <s v="Sales Pune"/>
        <s v="Support Mumbai"/>
        <s v="Accounts Bangalore"/>
      </sharedItems>
    </cacheField>
    <cacheField name="Revenue Contribution" numFmtId="0">
      <sharedItems containsSemiMixedTypes="0" containsString="0" containsNumber="1" containsInteger="1" minValue="0" maxValue="902063"/>
    </cacheField>
    <cacheField name="Cost" numFmtId="1">
      <sharedItems containsSemiMixedTypes="0" containsString="0" containsNumber="1" minValue="21911.4" maxValue="52269"/>
    </cacheField>
    <cacheField name="Tasks Assigned" numFmtId="0">
      <sharedItems containsSemiMixedTypes="0" containsString="0" containsNumber="1" containsInteger="1" minValue="5" maxValue="61"/>
    </cacheField>
  </cacheFields>
  <extLst>
    <ext xmlns:x14="http://schemas.microsoft.com/office/spreadsheetml/2009/9/main" uri="{725AE2AE-9491-48be-B2B4-4EB974FC3084}">
      <x14:pivotCacheDefinition pivotCacheId="908497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s v="Aarti"/>
    <x v="0"/>
    <x v="0"/>
    <x v="0"/>
    <x v="0"/>
    <x v="0"/>
    <n v="0"/>
    <n v="39486"/>
    <n v="49"/>
  </r>
  <r>
    <x v="1"/>
    <s v="Akanksha"/>
    <x v="1"/>
    <x v="1"/>
    <x v="1"/>
    <x v="1"/>
    <x v="1"/>
    <n v="327464"/>
    <n v="35717.85"/>
    <n v="19"/>
  </r>
  <r>
    <x v="2"/>
    <s v="Ananya"/>
    <x v="2"/>
    <x v="2"/>
    <x v="2"/>
    <x v="2"/>
    <x v="2"/>
    <n v="0"/>
    <n v="34137.599999999999"/>
    <n v="19"/>
  </r>
  <r>
    <x v="3"/>
    <s v="Bhavya"/>
    <x v="3"/>
    <x v="3"/>
    <x v="0"/>
    <x v="3"/>
    <x v="3"/>
    <n v="0"/>
    <n v="38559.15"/>
    <n v="61"/>
  </r>
  <r>
    <x v="4"/>
    <s v="Charu"/>
    <x v="0"/>
    <x v="4"/>
    <x v="1"/>
    <x v="4"/>
    <x v="4"/>
    <n v="0"/>
    <n v="30875.25"/>
    <n v="19"/>
  </r>
  <r>
    <x v="5"/>
    <s v="Deepika"/>
    <x v="1"/>
    <x v="5"/>
    <x v="2"/>
    <x v="5"/>
    <x v="5"/>
    <n v="845575"/>
    <n v="24325.350000000002"/>
    <n v="19"/>
  </r>
  <r>
    <x v="6"/>
    <s v="Divya"/>
    <x v="2"/>
    <x v="6"/>
    <x v="0"/>
    <x v="6"/>
    <x v="6"/>
    <n v="0"/>
    <n v="34243.65"/>
    <n v="19"/>
  </r>
  <r>
    <x v="7"/>
    <s v="Esha"/>
    <x v="3"/>
    <x v="7"/>
    <x v="1"/>
    <x v="7"/>
    <x v="7"/>
    <n v="0"/>
    <n v="32772.6"/>
    <n v="19"/>
  </r>
  <r>
    <x v="8"/>
    <s v="Gauri"/>
    <x v="0"/>
    <x v="8"/>
    <x v="2"/>
    <x v="8"/>
    <x v="8"/>
    <n v="0"/>
    <n v="42868.35"/>
    <n v="19"/>
  </r>
  <r>
    <x v="9"/>
    <s v="Harini"/>
    <x v="1"/>
    <x v="9"/>
    <x v="0"/>
    <x v="9"/>
    <x v="9"/>
    <n v="813294"/>
    <n v="48421.8"/>
    <n v="19"/>
  </r>
  <r>
    <x v="10"/>
    <s v="Ishita"/>
    <x v="2"/>
    <x v="10"/>
    <x v="1"/>
    <x v="10"/>
    <x v="10"/>
    <n v="0"/>
    <n v="48666.450000000004"/>
    <n v="19"/>
  </r>
  <r>
    <x v="11"/>
    <s v="Juhi"/>
    <x v="3"/>
    <x v="11"/>
    <x v="2"/>
    <x v="11"/>
    <x v="11"/>
    <n v="0"/>
    <n v="36589.35"/>
    <n v="19"/>
  </r>
  <r>
    <x v="12"/>
    <s v="Kanika"/>
    <x v="0"/>
    <x v="12"/>
    <x v="0"/>
    <x v="12"/>
    <x v="0"/>
    <n v="0"/>
    <n v="24853.5"/>
    <n v="19"/>
  </r>
  <r>
    <x v="13"/>
    <s v="Kritika"/>
    <x v="1"/>
    <x v="13"/>
    <x v="1"/>
    <x v="13"/>
    <x v="1"/>
    <n v="252597"/>
    <n v="23048.55"/>
    <n v="19"/>
  </r>
  <r>
    <x v="14"/>
    <s v="Lavanya"/>
    <x v="2"/>
    <x v="14"/>
    <x v="2"/>
    <x v="14"/>
    <x v="2"/>
    <n v="0"/>
    <n v="50499.75"/>
    <n v="21"/>
  </r>
  <r>
    <x v="15"/>
    <s v="Mitali"/>
    <x v="3"/>
    <x v="15"/>
    <x v="0"/>
    <x v="15"/>
    <x v="3"/>
    <n v="0"/>
    <n v="41584.200000000004"/>
    <n v="21"/>
  </r>
  <r>
    <x v="16"/>
    <s v="Nisha"/>
    <x v="0"/>
    <x v="16"/>
    <x v="1"/>
    <x v="16"/>
    <x v="4"/>
    <n v="0"/>
    <n v="44909.55"/>
    <n v="21"/>
  </r>
  <r>
    <x v="17"/>
    <s v="Priya"/>
    <x v="1"/>
    <x v="17"/>
    <x v="2"/>
    <x v="0"/>
    <x v="5"/>
    <n v="864644"/>
    <n v="24536.400000000001"/>
    <n v="21"/>
  </r>
  <r>
    <x v="18"/>
    <s v="Rashi"/>
    <x v="2"/>
    <x v="18"/>
    <x v="0"/>
    <x v="17"/>
    <x v="6"/>
    <n v="0"/>
    <n v="46376.4"/>
    <n v="21"/>
  </r>
  <r>
    <x v="19"/>
    <s v="Ritu"/>
    <x v="3"/>
    <x v="19"/>
    <x v="1"/>
    <x v="18"/>
    <x v="7"/>
    <n v="0"/>
    <n v="29265.600000000002"/>
    <n v="21"/>
  </r>
  <r>
    <x v="20"/>
    <s v="Sakshi"/>
    <x v="0"/>
    <x v="20"/>
    <x v="2"/>
    <x v="19"/>
    <x v="8"/>
    <n v="0"/>
    <n v="49123.200000000004"/>
    <n v="21"/>
  </r>
  <r>
    <x v="21"/>
    <s v="Shreya"/>
    <x v="1"/>
    <x v="21"/>
    <x v="0"/>
    <x v="20"/>
    <x v="9"/>
    <n v="262778"/>
    <n v="46623.15"/>
    <n v="21"/>
  </r>
  <r>
    <x v="22"/>
    <s v="Tanvi"/>
    <x v="2"/>
    <x v="22"/>
    <x v="1"/>
    <x v="21"/>
    <x v="10"/>
    <n v="0"/>
    <n v="50690.85"/>
    <n v="21"/>
  </r>
  <r>
    <x v="23"/>
    <s v="Trisha"/>
    <x v="3"/>
    <x v="23"/>
    <x v="2"/>
    <x v="22"/>
    <x v="11"/>
    <n v="0"/>
    <n v="41763.75"/>
    <n v="21"/>
  </r>
  <r>
    <x v="24"/>
    <s v="Urvashi"/>
    <x v="0"/>
    <x v="24"/>
    <x v="0"/>
    <x v="23"/>
    <x v="0"/>
    <n v="0"/>
    <n v="40079.550000000003"/>
    <n v="21"/>
  </r>
  <r>
    <x v="25"/>
    <s v="Vaishali"/>
    <x v="1"/>
    <x v="25"/>
    <x v="1"/>
    <x v="24"/>
    <x v="1"/>
    <n v="869013"/>
    <n v="46840.5"/>
    <n v="21"/>
  </r>
  <r>
    <x v="26"/>
    <s v="Vrinda"/>
    <x v="2"/>
    <x v="26"/>
    <x v="2"/>
    <x v="24"/>
    <x v="2"/>
    <n v="0"/>
    <n v="51553.950000000004"/>
    <n v="21"/>
  </r>
  <r>
    <x v="27"/>
    <s v="Yashasvi"/>
    <x v="3"/>
    <x v="27"/>
    <x v="0"/>
    <x v="25"/>
    <x v="3"/>
    <n v="0"/>
    <n v="21911.4"/>
    <n v="21"/>
  </r>
  <r>
    <x v="28"/>
    <s v="Zara"/>
    <x v="0"/>
    <x v="28"/>
    <x v="1"/>
    <x v="26"/>
    <x v="4"/>
    <n v="0"/>
    <n v="37129.050000000003"/>
    <n v="21"/>
  </r>
  <r>
    <x v="29"/>
    <s v="Aarav"/>
    <x v="1"/>
    <x v="29"/>
    <x v="2"/>
    <x v="27"/>
    <x v="5"/>
    <n v="341455"/>
    <n v="36874.950000000004"/>
    <n v="21"/>
  </r>
  <r>
    <x v="30"/>
    <s v="Abhinav"/>
    <x v="2"/>
    <x v="30"/>
    <x v="0"/>
    <x v="22"/>
    <x v="6"/>
    <n v="0"/>
    <n v="25700.850000000002"/>
    <n v="21"/>
  </r>
  <r>
    <x v="31"/>
    <s v="Akash"/>
    <x v="3"/>
    <x v="31"/>
    <x v="1"/>
    <x v="28"/>
    <x v="7"/>
    <n v="0"/>
    <n v="41814.15"/>
    <n v="21"/>
  </r>
  <r>
    <x v="32"/>
    <s v="Amit"/>
    <x v="0"/>
    <x v="32"/>
    <x v="2"/>
    <x v="29"/>
    <x v="8"/>
    <n v="0"/>
    <n v="28081.200000000001"/>
    <n v="21"/>
  </r>
  <r>
    <x v="33"/>
    <s v="Anand"/>
    <x v="1"/>
    <x v="33"/>
    <x v="0"/>
    <x v="10"/>
    <x v="9"/>
    <n v="427857"/>
    <n v="32338.95"/>
    <n v="21"/>
  </r>
  <r>
    <x v="34"/>
    <s v="Arjun"/>
    <x v="2"/>
    <x v="34"/>
    <x v="1"/>
    <x v="30"/>
    <x v="10"/>
    <n v="0"/>
    <n v="43148.700000000004"/>
    <n v="21"/>
  </r>
  <r>
    <x v="35"/>
    <s v="Ashwin"/>
    <x v="3"/>
    <x v="35"/>
    <x v="2"/>
    <x v="31"/>
    <x v="11"/>
    <n v="0"/>
    <n v="34268.85"/>
    <n v="21"/>
  </r>
  <r>
    <x v="36"/>
    <s v="Bharat"/>
    <x v="0"/>
    <x v="36"/>
    <x v="0"/>
    <x v="32"/>
    <x v="0"/>
    <n v="0"/>
    <n v="52111.5"/>
    <n v="21"/>
  </r>
  <r>
    <x v="37"/>
    <s v="Chetan"/>
    <x v="1"/>
    <x v="37"/>
    <x v="1"/>
    <x v="33"/>
    <x v="1"/>
    <n v="393252"/>
    <n v="32010.300000000003"/>
    <n v="21"/>
  </r>
  <r>
    <x v="38"/>
    <s v="Deepak"/>
    <x v="2"/>
    <x v="38"/>
    <x v="2"/>
    <x v="34"/>
    <x v="2"/>
    <n v="0"/>
    <n v="26182.800000000003"/>
    <n v="21"/>
  </r>
  <r>
    <x v="39"/>
    <s v="Devendra"/>
    <x v="3"/>
    <x v="39"/>
    <x v="0"/>
    <x v="35"/>
    <x v="3"/>
    <n v="0"/>
    <n v="50040.9"/>
    <n v="21"/>
  </r>
  <r>
    <x v="40"/>
    <s v="Gaurav"/>
    <x v="0"/>
    <x v="40"/>
    <x v="1"/>
    <x v="7"/>
    <x v="4"/>
    <n v="0"/>
    <n v="50495.55"/>
    <n v="21"/>
  </r>
  <r>
    <x v="41"/>
    <s v="Girish"/>
    <x v="1"/>
    <x v="41"/>
    <x v="2"/>
    <x v="3"/>
    <x v="5"/>
    <n v="493584"/>
    <n v="32044.95"/>
    <n v="21"/>
  </r>
  <r>
    <x v="42"/>
    <s v="Hitesh"/>
    <x v="2"/>
    <x v="42"/>
    <x v="0"/>
    <x v="17"/>
    <x v="6"/>
    <n v="0"/>
    <n v="25259.850000000002"/>
    <n v="21"/>
  </r>
  <r>
    <x v="43"/>
    <s v="Ishan"/>
    <x v="3"/>
    <x v="43"/>
    <x v="1"/>
    <x v="36"/>
    <x v="7"/>
    <n v="0"/>
    <n v="29170.050000000003"/>
    <n v="21"/>
  </r>
  <r>
    <x v="44"/>
    <s v="Jai"/>
    <x v="0"/>
    <x v="44"/>
    <x v="2"/>
    <x v="9"/>
    <x v="8"/>
    <n v="0"/>
    <n v="42290.85"/>
    <n v="21"/>
  </r>
  <r>
    <x v="45"/>
    <s v="Karan"/>
    <x v="1"/>
    <x v="45"/>
    <x v="0"/>
    <x v="32"/>
    <x v="9"/>
    <n v="560945"/>
    <n v="32680.2"/>
    <n v="21"/>
  </r>
  <r>
    <x v="46"/>
    <s v="Kiran"/>
    <x v="2"/>
    <x v="46"/>
    <x v="1"/>
    <x v="37"/>
    <x v="10"/>
    <n v="0"/>
    <n v="33168.450000000004"/>
    <n v="21"/>
  </r>
  <r>
    <x v="47"/>
    <s v="Manish"/>
    <x v="3"/>
    <x v="47"/>
    <x v="2"/>
    <x v="38"/>
    <x v="11"/>
    <n v="0"/>
    <n v="34894.65"/>
    <n v="6"/>
  </r>
  <r>
    <x v="48"/>
    <s v="Naveen"/>
    <x v="0"/>
    <x v="48"/>
    <x v="0"/>
    <x v="39"/>
    <x v="0"/>
    <n v="0"/>
    <n v="32307.45"/>
    <n v="6"/>
  </r>
  <r>
    <x v="49"/>
    <s v="Nitin"/>
    <x v="1"/>
    <x v="49"/>
    <x v="1"/>
    <x v="40"/>
    <x v="1"/>
    <n v="495683"/>
    <n v="25145.4"/>
    <n v="6"/>
  </r>
  <r>
    <x v="50"/>
    <s v="Omkar"/>
    <x v="2"/>
    <x v="50"/>
    <x v="2"/>
    <x v="41"/>
    <x v="2"/>
    <n v="0"/>
    <n v="24503.850000000002"/>
    <n v="6"/>
  </r>
  <r>
    <x v="51"/>
    <s v="Pradeep"/>
    <x v="3"/>
    <x v="51"/>
    <x v="0"/>
    <x v="42"/>
    <x v="3"/>
    <n v="0"/>
    <n v="36254.400000000001"/>
    <n v="6"/>
  </r>
  <r>
    <x v="52"/>
    <s v="Rahul"/>
    <x v="0"/>
    <x v="52"/>
    <x v="1"/>
    <x v="43"/>
    <x v="4"/>
    <n v="0"/>
    <n v="51448.950000000004"/>
    <n v="6"/>
  </r>
  <r>
    <x v="53"/>
    <s v="Rajesh"/>
    <x v="1"/>
    <x v="53"/>
    <x v="2"/>
    <x v="44"/>
    <x v="5"/>
    <n v="902063"/>
    <n v="24238.2"/>
    <n v="6"/>
  </r>
  <r>
    <x v="54"/>
    <s v="Sachin"/>
    <x v="2"/>
    <x v="54"/>
    <x v="0"/>
    <x v="45"/>
    <x v="6"/>
    <n v="0"/>
    <n v="52269"/>
    <n v="22"/>
  </r>
  <r>
    <x v="55"/>
    <s v="Sameer"/>
    <x v="3"/>
    <x v="55"/>
    <x v="1"/>
    <x v="46"/>
    <x v="7"/>
    <n v="0"/>
    <n v="29267.7"/>
    <n v="5"/>
  </r>
  <r>
    <x v="56"/>
    <s v="Tarun"/>
    <x v="0"/>
    <x v="56"/>
    <x v="2"/>
    <x v="47"/>
    <x v="8"/>
    <n v="0"/>
    <n v="40725.300000000003"/>
    <n v="5"/>
  </r>
  <r>
    <x v="57"/>
    <s v="Uday"/>
    <x v="1"/>
    <x v="57"/>
    <x v="0"/>
    <x v="37"/>
    <x v="9"/>
    <n v="602690"/>
    <n v="39530.400000000001"/>
    <n v="5"/>
  </r>
  <r>
    <x v="58"/>
    <s v="Varun"/>
    <x v="2"/>
    <x v="58"/>
    <x v="1"/>
    <x v="48"/>
    <x v="10"/>
    <n v="0"/>
    <n v="27870.15"/>
    <n v="5"/>
  </r>
  <r>
    <x v="59"/>
    <s v="Vishal"/>
    <x v="3"/>
    <x v="59"/>
    <x v="2"/>
    <x v="35"/>
    <x v="11"/>
    <n v="0"/>
    <n v="35103.599999999999"/>
    <n v="5"/>
  </r>
  <r>
    <x v="60"/>
    <s v="Yash"/>
    <x v="0"/>
    <x v="60"/>
    <x v="0"/>
    <x v="49"/>
    <x v="0"/>
    <n v="0"/>
    <n v="35038.5"/>
    <n v="5"/>
  </r>
  <r>
    <x v="61"/>
    <s v="Reena"/>
    <x v="1"/>
    <x v="61"/>
    <x v="1"/>
    <x v="50"/>
    <x v="1"/>
    <n v="302407"/>
    <n v="29350.65"/>
    <n v="5"/>
  </r>
  <r>
    <x v="62"/>
    <s v="Sayali"/>
    <x v="2"/>
    <x v="62"/>
    <x v="2"/>
    <x v="1"/>
    <x v="2"/>
    <n v="0"/>
    <n v="40974.15"/>
    <n v="5"/>
  </r>
  <r>
    <x v="63"/>
    <s v="Pooja"/>
    <x v="3"/>
    <x v="63"/>
    <x v="0"/>
    <x v="33"/>
    <x v="3"/>
    <n v="0"/>
    <n v="23564.100000000002"/>
    <n v="5"/>
  </r>
  <r>
    <x v="64"/>
    <s v="Neeraj"/>
    <x v="0"/>
    <x v="64"/>
    <x v="1"/>
    <x v="51"/>
    <x v="4"/>
    <n v="0"/>
    <n v="41970.6"/>
    <n v="5"/>
  </r>
  <r>
    <x v="65"/>
    <s v="Pranali"/>
    <x v="1"/>
    <x v="65"/>
    <x v="2"/>
    <x v="4"/>
    <x v="5"/>
    <n v="747356"/>
    <n v="31742.550000000003"/>
    <n v="5"/>
  </r>
  <r>
    <x v="66"/>
    <s v="Mohini"/>
    <x v="2"/>
    <x v="66"/>
    <x v="0"/>
    <x v="38"/>
    <x v="6"/>
    <n v="0"/>
    <n v="22524.600000000002"/>
    <n v="5"/>
  </r>
  <r>
    <x v="67"/>
    <s v="Ajay"/>
    <x v="3"/>
    <x v="67"/>
    <x v="1"/>
    <x v="52"/>
    <x v="7"/>
    <n v="0"/>
    <n v="27751.5"/>
    <n v="5"/>
  </r>
  <r>
    <x v="68"/>
    <s v="Ramesh"/>
    <x v="0"/>
    <x v="68"/>
    <x v="2"/>
    <x v="53"/>
    <x v="8"/>
    <n v="0"/>
    <n v="45663.450000000004"/>
    <n v="5"/>
  </r>
  <r>
    <x v="69"/>
    <s v="Suresh"/>
    <x v="1"/>
    <x v="69"/>
    <x v="0"/>
    <x v="54"/>
    <x v="9"/>
    <n v="297772"/>
    <n v="31411.800000000003"/>
    <n v="5"/>
  </r>
  <r>
    <x v="70"/>
    <s v="Mahesh"/>
    <x v="2"/>
    <x v="70"/>
    <x v="1"/>
    <x v="38"/>
    <x v="10"/>
    <n v="0"/>
    <n v="43681.05"/>
    <n v="5"/>
  </r>
  <r>
    <x v="71"/>
    <s v="Lokesh"/>
    <x v="3"/>
    <x v="71"/>
    <x v="2"/>
    <x v="55"/>
    <x v="11"/>
    <n v="0"/>
    <n v="22944.60000000000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A8207A-1A81-43E9-A639-90CCC064096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B2:C7" firstHeaderRow="1" firstDataRow="1" firstDataCol="1"/>
  <pivotFields count="10">
    <pivotField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axis="axisRow" showAll="0">
      <items count="5">
        <item x="3"/>
        <item x="0"/>
        <item x="1"/>
        <item x="2"/>
        <item t="default"/>
      </items>
    </pivotField>
    <pivotField dataField="1" showAll="0">
      <items count="73">
        <item x="27"/>
        <item x="66"/>
        <item x="71"/>
        <item x="13"/>
        <item x="63"/>
        <item x="53"/>
        <item x="5"/>
        <item x="50"/>
        <item x="17"/>
        <item x="12"/>
        <item x="49"/>
        <item x="42"/>
        <item x="30"/>
        <item x="38"/>
        <item x="67"/>
        <item x="58"/>
        <item x="32"/>
        <item x="43"/>
        <item x="19"/>
        <item x="55"/>
        <item x="61"/>
        <item x="4"/>
        <item x="69"/>
        <item x="65"/>
        <item x="37"/>
        <item x="41"/>
        <item x="48"/>
        <item x="33"/>
        <item x="45"/>
        <item x="7"/>
        <item x="46"/>
        <item x="2"/>
        <item x="6"/>
        <item x="35"/>
        <item x="0"/>
        <item x="47"/>
        <item x="60"/>
        <item x="59"/>
        <item x="1"/>
        <item x="51"/>
        <item x="11"/>
        <item x="29"/>
        <item x="28"/>
        <item x="3"/>
        <item x="57"/>
        <item x="24"/>
        <item x="56"/>
        <item x="62"/>
        <item x="15"/>
        <item x="23"/>
        <item x="31"/>
        <item x="64"/>
        <item x="44"/>
        <item x="8"/>
        <item x="34"/>
        <item x="70"/>
        <item x="16"/>
        <item x="68"/>
        <item x="18"/>
        <item x="21"/>
        <item x="25"/>
        <item x="9"/>
        <item x="10"/>
        <item x="20"/>
        <item x="39"/>
        <item x="40"/>
        <item x="14"/>
        <item x="22"/>
        <item x="52"/>
        <item x="26"/>
        <item x="36"/>
        <item x="54"/>
        <item t="default"/>
      </items>
    </pivotField>
    <pivotField showAll="0">
      <items count="4">
        <item x="2"/>
        <item x="1"/>
        <item x="0"/>
        <item t="default"/>
      </items>
    </pivotField>
    <pivotField numFmtId="14" showAll="0">
      <items count="57">
        <item x="54"/>
        <item x="9"/>
        <item x="26"/>
        <item x="30"/>
        <item x="35"/>
        <item x="19"/>
        <item x="47"/>
        <item x="24"/>
        <item x="4"/>
        <item x="7"/>
        <item x="6"/>
        <item x="8"/>
        <item x="50"/>
        <item x="43"/>
        <item x="11"/>
        <item x="53"/>
        <item x="15"/>
        <item x="2"/>
        <item x="45"/>
        <item x="22"/>
        <item x="31"/>
        <item x="44"/>
        <item x="32"/>
        <item x="55"/>
        <item x="42"/>
        <item x="25"/>
        <item x="12"/>
        <item x="0"/>
        <item x="39"/>
        <item x="29"/>
        <item x="17"/>
        <item x="49"/>
        <item x="40"/>
        <item x="37"/>
        <item x="1"/>
        <item x="18"/>
        <item x="3"/>
        <item x="51"/>
        <item x="48"/>
        <item x="27"/>
        <item x="14"/>
        <item x="10"/>
        <item x="5"/>
        <item x="21"/>
        <item x="34"/>
        <item x="52"/>
        <item x="36"/>
        <item x="41"/>
        <item x="38"/>
        <item x="28"/>
        <item x="33"/>
        <item x="46"/>
        <item x="20"/>
        <item x="23"/>
        <item x="16"/>
        <item x="13"/>
        <item t="default"/>
      </items>
    </pivotField>
    <pivotField showAll="0">
      <items count="13">
        <item x="11"/>
        <item x="7"/>
        <item x="3"/>
        <item x="8"/>
        <item x="4"/>
        <item x="0"/>
        <item x="5"/>
        <item x="1"/>
        <item x="9"/>
        <item x="2"/>
        <item x="10"/>
        <item x="6"/>
        <item t="default"/>
      </items>
    </pivotField>
    <pivotField showAll="0"/>
    <pivotField numFmtId="1" showAll="0"/>
    <pivotField showAll="0"/>
  </pivotFields>
  <rowFields count="1">
    <field x="2"/>
  </rowFields>
  <rowItems count="5">
    <i>
      <x/>
    </i>
    <i>
      <x v="1"/>
    </i>
    <i>
      <x v="2"/>
    </i>
    <i>
      <x v="3"/>
    </i>
    <i t="grand">
      <x/>
    </i>
  </rowItems>
  <colItems count="1">
    <i/>
  </colItems>
  <dataFields count="1">
    <dataField name="Sum of Salary" fld="3" baseField="0" baseItem="0"/>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59B58F-B48D-4660-946A-95ABBE6B32A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B62:C67" firstHeaderRow="1" firstDataRow="1" firstDataCol="1"/>
  <pivotFields count="10">
    <pivotField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axis="axisRow" showAll="0">
      <items count="5">
        <item x="3"/>
        <item x="0"/>
        <item x="1"/>
        <item x="2"/>
        <item t="default"/>
      </items>
    </pivotField>
    <pivotField showAll="0"/>
    <pivotField showAll="0">
      <items count="4">
        <item x="2"/>
        <item x="1"/>
        <item x="0"/>
        <item t="default"/>
      </items>
    </pivotField>
    <pivotField numFmtId="14" showAll="0">
      <items count="57">
        <item x="54"/>
        <item x="9"/>
        <item x="26"/>
        <item x="30"/>
        <item x="35"/>
        <item x="19"/>
        <item x="47"/>
        <item x="24"/>
        <item x="4"/>
        <item x="7"/>
        <item x="6"/>
        <item x="8"/>
        <item x="50"/>
        <item x="43"/>
        <item x="11"/>
        <item x="53"/>
        <item x="15"/>
        <item x="2"/>
        <item x="45"/>
        <item x="22"/>
        <item x="31"/>
        <item x="44"/>
        <item x="32"/>
        <item x="55"/>
        <item x="42"/>
        <item x="25"/>
        <item x="12"/>
        <item x="0"/>
        <item x="39"/>
        <item x="29"/>
        <item x="17"/>
        <item x="49"/>
        <item x="40"/>
        <item x="37"/>
        <item x="1"/>
        <item x="18"/>
        <item x="3"/>
        <item x="51"/>
        <item x="48"/>
        <item x="27"/>
        <item x="14"/>
        <item x="10"/>
        <item x="5"/>
        <item x="21"/>
        <item x="34"/>
        <item x="52"/>
        <item x="36"/>
        <item x="41"/>
        <item x="38"/>
        <item x="28"/>
        <item x="33"/>
        <item x="46"/>
        <item x="20"/>
        <item x="23"/>
        <item x="16"/>
        <item x="13"/>
        <item t="default"/>
      </items>
    </pivotField>
    <pivotField showAll="0">
      <items count="13">
        <item x="11"/>
        <item x="7"/>
        <item x="3"/>
        <item x="8"/>
        <item x="4"/>
        <item x="0"/>
        <item x="5"/>
        <item x="1"/>
        <item x="9"/>
        <item x="2"/>
        <item x="10"/>
        <item x="6"/>
        <item t="default"/>
      </items>
    </pivotField>
    <pivotField showAll="0"/>
    <pivotField dataField="1" numFmtId="1" showAll="0"/>
    <pivotField showAll="0"/>
  </pivotFields>
  <rowFields count="1">
    <field x="2"/>
  </rowFields>
  <rowItems count="5">
    <i>
      <x/>
    </i>
    <i>
      <x v="1"/>
    </i>
    <i>
      <x v="2"/>
    </i>
    <i>
      <x v="3"/>
    </i>
    <i t="grand">
      <x/>
    </i>
  </rowItems>
  <colItems count="1">
    <i/>
  </colItems>
  <dataFields count="1">
    <dataField name="Sum of Cost" fld="8" baseField="0" baseItem="0" numFmtId="1"/>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F3474F-3E2D-4097-8158-B80E4A34A0E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B34:C47" firstHeaderRow="1" firstDataRow="1" firstDataCol="1"/>
  <pivotFields count="10">
    <pivotField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showAll="0">
      <items count="5">
        <item x="3"/>
        <item x="0"/>
        <item x="1"/>
        <item x="2"/>
        <item t="default"/>
      </items>
    </pivotField>
    <pivotField showAll="0"/>
    <pivotField showAll="0">
      <items count="4">
        <item x="2"/>
        <item x="1"/>
        <item x="0"/>
        <item t="default"/>
      </items>
    </pivotField>
    <pivotField numFmtId="14" showAll="0">
      <items count="57">
        <item x="54"/>
        <item x="9"/>
        <item x="26"/>
        <item x="30"/>
        <item x="35"/>
        <item x="19"/>
        <item x="47"/>
        <item x="24"/>
        <item x="4"/>
        <item x="7"/>
        <item x="6"/>
        <item x="8"/>
        <item x="50"/>
        <item x="43"/>
        <item x="11"/>
        <item x="53"/>
        <item x="15"/>
        <item x="2"/>
        <item x="45"/>
        <item x="22"/>
        <item x="31"/>
        <item x="44"/>
        <item x="32"/>
        <item x="55"/>
        <item x="42"/>
        <item x="25"/>
        <item x="12"/>
        <item x="0"/>
        <item x="39"/>
        <item x="29"/>
        <item x="17"/>
        <item x="49"/>
        <item x="40"/>
        <item x="37"/>
        <item x="1"/>
        <item x="18"/>
        <item x="3"/>
        <item x="51"/>
        <item x="48"/>
        <item x="27"/>
        <item x="14"/>
        <item x="10"/>
        <item x="5"/>
        <item x="21"/>
        <item x="34"/>
        <item x="52"/>
        <item x="36"/>
        <item x="41"/>
        <item x="38"/>
        <item x="28"/>
        <item x="33"/>
        <item x="46"/>
        <item x="20"/>
        <item x="23"/>
        <item x="16"/>
        <item x="13"/>
        <item t="default"/>
      </items>
    </pivotField>
    <pivotField axis="axisRow" showAll="0">
      <items count="13">
        <item x="11"/>
        <item x="7"/>
        <item x="3"/>
        <item x="8"/>
        <item x="4"/>
        <item x="0"/>
        <item x="5"/>
        <item x="1"/>
        <item x="9"/>
        <item x="2"/>
        <item x="10"/>
        <item x="6"/>
        <item t="default"/>
      </items>
    </pivotField>
    <pivotField dataField="1" showAll="0"/>
    <pivotField numFmtId="1"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Revenue Contribution" fld="7" baseField="0" baseItem="0"/>
  </dataField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39774C-DEF3-405F-AA52-8088442B282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7">
  <location ref="B19:C23" firstHeaderRow="1" firstDataRow="1" firstDataCol="1"/>
  <pivotFields count="10">
    <pivotField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showAll="0">
      <items count="5">
        <item x="3"/>
        <item x="0"/>
        <item x="1"/>
        <item x="2"/>
        <item t="default"/>
      </items>
    </pivotField>
    <pivotField dataField="1" showAll="0"/>
    <pivotField axis="axisRow" showAll="0">
      <items count="4">
        <item x="2"/>
        <item x="1"/>
        <item x="0"/>
        <item t="default"/>
      </items>
    </pivotField>
    <pivotField numFmtId="14" showAll="0">
      <items count="57">
        <item x="54"/>
        <item x="9"/>
        <item x="26"/>
        <item x="30"/>
        <item x="35"/>
        <item x="19"/>
        <item x="47"/>
        <item x="24"/>
        <item x="4"/>
        <item x="7"/>
        <item x="6"/>
        <item x="8"/>
        <item x="50"/>
        <item x="43"/>
        <item x="11"/>
        <item x="53"/>
        <item x="15"/>
        <item x="2"/>
        <item x="45"/>
        <item x="22"/>
        <item x="31"/>
        <item x="44"/>
        <item x="32"/>
        <item x="55"/>
        <item x="42"/>
        <item x="25"/>
        <item x="12"/>
        <item x="0"/>
        <item x="39"/>
        <item x="29"/>
        <item x="17"/>
        <item x="49"/>
        <item x="40"/>
        <item x="37"/>
        <item x="1"/>
        <item x="18"/>
        <item x="3"/>
        <item x="51"/>
        <item x="48"/>
        <item x="27"/>
        <item x="14"/>
        <item x="10"/>
        <item x="5"/>
        <item x="21"/>
        <item x="34"/>
        <item x="52"/>
        <item x="36"/>
        <item x="41"/>
        <item x="38"/>
        <item x="28"/>
        <item x="33"/>
        <item x="46"/>
        <item x="20"/>
        <item x="23"/>
        <item x="16"/>
        <item x="13"/>
        <item t="default"/>
      </items>
    </pivotField>
    <pivotField showAll="0">
      <items count="13">
        <item x="11"/>
        <item x="7"/>
        <item x="3"/>
        <item x="8"/>
        <item x="4"/>
        <item x="0"/>
        <item x="5"/>
        <item x="1"/>
        <item x="9"/>
        <item x="2"/>
        <item x="10"/>
        <item x="6"/>
        <item t="default"/>
      </items>
    </pivotField>
    <pivotField showAll="0"/>
    <pivotField numFmtId="1" showAll="0"/>
    <pivotField showAll="0"/>
  </pivotFields>
  <rowFields count="1">
    <field x="4"/>
  </rowFields>
  <rowItems count="4">
    <i>
      <x/>
    </i>
    <i>
      <x v="1"/>
    </i>
    <i>
      <x v="2"/>
    </i>
    <i t="grand">
      <x/>
    </i>
  </rowItems>
  <colItems count="1">
    <i/>
  </colItems>
  <dataFields count="1">
    <dataField name="Sum of Salary" fld="3" baseField="0" baseItem="0"/>
  </dataFields>
  <chartFormats count="14">
    <chartFormat chart="19"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0"/>
          </reference>
        </references>
      </pivotArea>
    </chartFormat>
    <chartFormat chart="52" format="2">
      <pivotArea type="data" outline="0" fieldPosition="0">
        <references count="2">
          <reference field="4294967294" count="1" selected="0">
            <x v="0"/>
          </reference>
          <reference field="4" count="1" selected="0">
            <x v="0"/>
          </reference>
        </references>
      </pivotArea>
    </chartFormat>
    <chartFormat chart="52" format="3">
      <pivotArea type="data" outline="0" fieldPosition="0">
        <references count="2">
          <reference field="4294967294" count="1" selected="0">
            <x v="0"/>
          </reference>
          <reference field="4" count="1" selected="0">
            <x v="1"/>
          </reference>
        </references>
      </pivotArea>
    </chartFormat>
    <chartFormat chart="52" format="4">
      <pivotArea type="data" outline="0" fieldPosition="0">
        <references count="2">
          <reference field="4294967294" count="1" selected="0">
            <x v="0"/>
          </reference>
          <reference field="4" count="1" selected="0">
            <x v="2"/>
          </reference>
        </references>
      </pivotArea>
    </chartFormat>
    <chartFormat chart="53" format="5" series="1">
      <pivotArea type="data" outline="0" fieldPosition="0">
        <references count="1">
          <reference field="4294967294" count="1" selected="0">
            <x v="0"/>
          </reference>
        </references>
      </pivotArea>
    </chartFormat>
    <chartFormat chart="53" format="6">
      <pivotArea type="data" outline="0" fieldPosition="0">
        <references count="2">
          <reference field="4294967294" count="1" selected="0">
            <x v="0"/>
          </reference>
          <reference field="4" count="1" selected="0">
            <x v="0"/>
          </reference>
        </references>
      </pivotArea>
    </chartFormat>
    <chartFormat chart="53" format="7">
      <pivotArea type="data" outline="0" fieldPosition="0">
        <references count="2">
          <reference field="4294967294" count="1" selected="0">
            <x v="0"/>
          </reference>
          <reference field="4" count="1" selected="0">
            <x v="1"/>
          </reference>
        </references>
      </pivotArea>
    </chartFormat>
    <chartFormat chart="53" format="8">
      <pivotArea type="data" outline="0" fieldPosition="0">
        <references count="2">
          <reference field="4294967294" count="1" selected="0">
            <x v="0"/>
          </reference>
          <reference field="4" count="1" selected="0">
            <x v="2"/>
          </reference>
        </references>
      </pivotArea>
    </chartFormat>
    <chartFormat chart="54" format="5" series="1">
      <pivotArea type="data" outline="0" fieldPosition="0">
        <references count="1">
          <reference field="4294967294" count="1" selected="0">
            <x v="0"/>
          </reference>
        </references>
      </pivotArea>
    </chartFormat>
    <chartFormat chart="54" format="6">
      <pivotArea type="data" outline="0" fieldPosition="0">
        <references count="2">
          <reference field="4294967294" count="1" selected="0">
            <x v="0"/>
          </reference>
          <reference field="4" count="1" selected="0">
            <x v="0"/>
          </reference>
        </references>
      </pivotArea>
    </chartFormat>
    <chartFormat chart="54" format="7">
      <pivotArea type="data" outline="0" fieldPosition="0">
        <references count="2">
          <reference field="4294967294" count="1" selected="0">
            <x v="0"/>
          </reference>
          <reference field="4" count="1" selected="0">
            <x v="1"/>
          </reference>
        </references>
      </pivotArea>
    </chartFormat>
    <chartFormat chart="5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4C238E8-72A7-41E4-AFB1-57916CDDEE69}" sourceName="Location">
  <pivotTables>
    <pivotTable tabId="12" name="PivotTable2"/>
    <pivotTable tabId="12" name="PivotTable1"/>
    <pivotTable tabId="12" name="PivotTable3"/>
    <pivotTable tabId="12" name="PivotTable4"/>
  </pivotTables>
  <data>
    <tabular pivotCacheId="90849705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93F5DA6-5009-4554-B4C8-DCDEF5DF134B}" sourceName="Department">
  <pivotTables>
    <pivotTable tabId="12" name="PivotTable1"/>
    <pivotTable tabId="12" name="PivotTable2"/>
    <pivotTable tabId="12" name="PivotTable3"/>
    <pivotTable tabId="12" name="PivotTable4"/>
  </pivotTables>
  <data>
    <tabular pivotCacheId="90849705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DC004C2B-5873-4B46-A9C1-EA9A25DBAC0A}" sourceName="Team">
  <pivotTables>
    <pivotTable tabId="12" name="PivotTable3"/>
    <pivotTable tabId="12" name="PivotTable1"/>
    <pivotTable tabId="12" name="PivotTable2"/>
    <pivotTable tabId="12" name="PivotTable4"/>
  </pivotTables>
  <data>
    <tabular pivotCacheId="908497051">
      <items count="12">
        <i x="11" s="1"/>
        <i x="7" s="1"/>
        <i x="3" s="1"/>
        <i x="8" s="1"/>
        <i x="4" s="1"/>
        <i x="0" s="1"/>
        <i x="5" s="1"/>
        <i x="1" s="1"/>
        <i x="9" s="1"/>
        <i x="2" s="1"/>
        <i x="1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Id" xr10:uid="{E34777B2-08D0-49C6-84D7-6407495E38A7}" sourceName="Emp Id">
  <pivotTables>
    <pivotTable tabId="12" name="PivotTable3"/>
    <pivotTable tabId="12" name="PivotTable1"/>
    <pivotTable tabId="12" name="PivotTable2"/>
    <pivotTable tabId="12" name="PivotTable4"/>
  </pivotTables>
  <data>
    <tabular pivotCacheId="908497051">
      <items count="72">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4A3F57C-7177-430A-8C55-9D7C77805EDE}" cache="Slicer_Location" caption="Location" columnCount="3" style="Slicer Style 1 2" rowHeight="457200"/>
  <slicer name="Department" xr10:uid="{EA3076CA-1700-4045-B26D-0636BC047500}" cache="Slicer_Department" caption="Department" columnCount="2" rowHeight="365760"/>
  <slicer name="Team" xr10:uid="{EDC0EEFE-D9EB-4792-B42B-9059987570EC}" cache="Slicer_Team" caption="Team" startItem="8" columnCount="2" rowHeight="274320"/>
  <slicer name="Emp Id" xr10:uid="{E2376A6F-96A2-4ABF-9015-365AC03D1BF4}" cache="Slicer_Emp_Id" caption="Emp Id" columnCount="3"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FE6947-0090-4530-B4A2-A60A6D042DDA}" name="MasterDB" displayName="MasterDB" ref="A1:J73" totalsRowShown="0" headerRowDxfId="14" headerRowBorderDxfId="13" tableBorderDxfId="12">
  <tableColumns count="10">
    <tableColumn id="1" xr3:uid="{B3E7C4CC-066D-40A9-8CB1-37972FE1587A}" name="Emp Id" dataDxfId="11"/>
    <tableColumn id="2" xr3:uid="{0D1233AA-D2A1-4F11-A050-9B6C9767210B}" name="Name" dataDxfId="10"/>
    <tableColumn id="3" xr3:uid="{AEF95EAD-18F1-4D54-A962-E0E7F1CDF51B}" name="Department" dataDxfId="9"/>
    <tableColumn id="4" xr3:uid="{B8E9713F-3315-42CE-8D0E-5208E33295B6}" name="Salary" dataDxfId="8"/>
    <tableColumn id="5" xr3:uid="{0FCF6159-3B29-4D5A-83E9-76A59F04F6E7}" name="Location" dataDxfId="7"/>
    <tableColumn id="6" xr3:uid="{A1D2B846-21E9-4273-A8BA-7847EB10CBA7}" name="Date of Joining" dataDxfId="6"/>
    <tableColumn id="7" xr3:uid="{7EC1F2B1-F6A8-40E5-89FB-00D99E41F32B}" name="Team" dataDxfId="5"/>
    <tableColumn id="8" xr3:uid="{96CF2D0B-CFD5-48CC-8303-BAB340F93BE9}" name="Revenue Contribution" dataDxfId="4"/>
    <tableColumn id="9" xr3:uid="{5D3B66FE-39D5-4AF4-97A7-CC37321F5C8D}" name="Cost" dataDxfId="3"/>
    <tableColumn id="10" xr3:uid="{7FCBC638-9F46-49D0-88CE-3F9EA73024FB}" name="Tasks Assigned"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Joining1" xr10:uid="{10241D4A-8504-42EA-AB24-8D32020F0F87}" sourceName="Date of Joining">
  <pivotTables>
    <pivotTable tabId="12" name="PivotTable3"/>
    <pivotTable tabId="12" name="PivotTable1"/>
    <pivotTable tabId="12" name="PivotTable2"/>
    <pivotTable tabId="12" name="PivotTable4"/>
  </pivotTables>
  <state minimalRefreshVersion="6" lastRefreshVersion="6" pivotCacheId="90849705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ing" xr10:uid="{30D8F27D-4766-4649-B7C3-41E605B0A9C9}" cache="NativeTimeline_Date_of_Joining1" caption="Date of Joining" showSelectionLabel="0" showTimeLevel="0" showHorizontalScrollbar="0" level="2" selectionLevel="2" scrollPosition="2023-01-01T00:00:00" style="Timeline Style 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6A161-2183-40BF-8AF3-C7348CBD31C0}">
  <dimension ref="A1:J73"/>
  <sheetViews>
    <sheetView workbookViewId="0">
      <selection activeCell="E13" sqref="E13"/>
    </sheetView>
  </sheetViews>
  <sheetFormatPr defaultRowHeight="14.4" x14ac:dyDescent="0.3"/>
  <cols>
    <col min="2" max="2" width="12.33203125" customWidth="1"/>
    <col min="3" max="3" width="13.109375" customWidth="1"/>
    <col min="4" max="4" width="16" customWidth="1"/>
    <col min="5" max="5" width="14.109375" customWidth="1"/>
    <col min="6" max="6" width="16.88671875" customWidth="1"/>
    <col min="7" max="7" width="20.44140625" customWidth="1"/>
    <col min="8" max="8" width="26.77734375" customWidth="1"/>
    <col min="9" max="9" width="14.88671875" customWidth="1"/>
    <col min="10" max="10" width="15.21875" customWidth="1"/>
  </cols>
  <sheetData>
    <row r="1" spans="1:10" x14ac:dyDescent="0.3">
      <c r="A1" s="14" t="s">
        <v>0</v>
      </c>
      <c r="B1" s="15" t="s">
        <v>1</v>
      </c>
      <c r="C1" s="16" t="s">
        <v>2</v>
      </c>
      <c r="D1" s="16" t="s">
        <v>3</v>
      </c>
      <c r="E1" s="16" t="s">
        <v>4</v>
      </c>
      <c r="F1" s="16" t="s">
        <v>5</v>
      </c>
      <c r="G1" s="17" t="s">
        <v>6</v>
      </c>
      <c r="H1" s="16" t="s">
        <v>7</v>
      </c>
      <c r="I1" s="16" t="s">
        <v>8</v>
      </c>
      <c r="J1" s="17" t="s">
        <v>9</v>
      </c>
    </row>
    <row r="2" spans="1:10" x14ac:dyDescent="0.3">
      <c r="A2" s="12">
        <v>101</v>
      </c>
      <c r="B2" s="1" t="s">
        <v>10</v>
      </c>
      <c r="C2" s="2" t="s">
        <v>11</v>
      </c>
      <c r="D2" s="2">
        <v>32905</v>
      </c>
      <c r="E2" s="2" t="s">
        <v>12</v>
      </c>
      <c r="F2" s="3">
        <v>45079</v>
      </c>
      <c r="G2" s="4" t="s">
        <v>13</v>
      </c>
      <c r="H2" s="5">
        <v>0</v>
      </c>
      <c r="I2" s="6">
        <v>39486</v>
      </c>
      <c r="J2" s="18">
        <v>49</v>
      </c>
    </row>
    <row r="3" spans="1:10" x14ac:dyDescent="0.3">
      <c r="A3" s="12">
        <v>102</v>
      </c>
      <c r="B3" s="1" t="s">
        <v>14</v>
      </c>
      <c r="C3" s="2" t="s">
        <v>15</v>
      </c>
      <c r="D3" s="2">
        <v>34017</v>
      </c>
      <c r="E3" s="2" t="s">
        <v>16</v>
      </c>
      <c r="F3" s="3">
        <v>45094</v>
      </c>
      <c r="G3" s="4" t="s">
        <v>17</v>
      </c>
      <c r="H3" s="2">
        <v>327464</v>
      </c>
      <c r="I3" s="6">
        <v>35717.85</v>
      </c>
      <c r="J3" s="18">
        <v>19</v>
      </c>
    </row>
    <row r="4" spans="1:10" x14ac:dyDescent="0.3">
      <c r="A4" s="12">
        <v>103</v>
      </c>
      <c r="B4" s="1" t="s">
        <v>18</v>
      </c>
      <c r="C4" s="2" t="s">
        <v>19</v>
      </c>
      <c r="D4" s="2">
        <v>32512</v>
      </c>
      <c r="E4" s="2" t="s">
        <v>20</v>
      </c>
      <c r="F4" s="3">
        <v>45042</v>
      </c>
      <c r="G4" s="4" t="s">
        <v>21</v>
      </c>
      <c r="H4" s="2">
        <v>0</v>
      </c>
      <c r="I4" s="6">
        <v>34137.599999999999</v>
      </c>
      <c r="J4" s="18">
        <v>19</v>
      </c>
    </row>
    <row r="5" spans="1:10" x14ac:dyDescent="0.3">
      <c r="A5" s="12">
        <v>104</v>
      </c>
      <c r="B5" s="1" t="s">
        <v>22</v>
      </c>
      <c r="C5" s="2" t="s">
        <v>23</v>
      </c>
      <c r="D5" s="2">
        <v>36723</v>
      </c>
      <c r="E5" s="2" t="s">
        <v>12</v>
      </c>
      <c r="F5" s="3">
        <v>45096</v>
      </c>
      <c r="G5" s="4" t="s">
        <v>24</v>
      </c>
      <c r="H5" s="2">
        <v>0</v>
      </c>
      <c r="I5" s="6">
        <v>38559.15</v>
      </c>
      <c r="J5" s="18">
        <v>61</v>
      </c>
    </row>
    <row r="6" spans="1:10" x14ac:dyDescent="0.3">
      <c r="A6" s="12">
        <v>105</v>
      </c>
      <c r="B6" s="1" t="s">
        <v>25</v>
      </c>
      <c r="C6" s="2" t="s">
        <v>11</v>
      </c>
      <c r="D6" s="2">
        <v>29405</v>
      </c>
      <c r="E6" s="2" t="s">
        <v>16</v>
      </c>
      <c r="F6" s="3">
        <v>45020</v>
      </c>
      <c r="G6" s="4" t="s">
        <v>26</v>
      </c>
      <c r="H6" s="2">
        <v>0</v>
      </c>
      <c r="I6" s="6">
        <v>30875.25</v>
      </c>
      <c r="J6" s="18">
        <v>19</v>
      </c>
    </row>
    <row r="7" spans="1:10" x14ac:dyDescent="0.3">
      <c r="A7" s="12">
        <v>106</v>
      </c>
      <c r="B7" s="1" t="s">
        <v>27</v>
      </c>
      <c r="C7" s="2" t="s">
        <v>15</v>
      </c>
      <c r="D7" s="2">
        <v>23167</v>
      </c>
      <c r="E7" s="2" t="s">
        <v>20</v>
      </c>
      <c r="F7" s="3">
        <v>45106</v>
      </c>
      <c r="G7" s="4" t="s">
        <v>28</v>
      </c>
      <c r="H7" s="2">
        <v>845575</v>
      </c>
      <c r="I7" s="6">
        <v>24325.350000000002</v>
      </c>
      <c r="J7" s="18">
        <v>19</v>
      </c>
    </row>
    <row r="8" spans="1:10" x14ac:dyDescent="0.3">
      <c r="A8" s="12">
        <v>107</v>
      </c>
      <c r="B8" s="1" t="s">
        <v>29</v>
      </c>
      <c r="C8" s="2" t="s">
        <v>19</v>
      </c>
      <c r="D8" s="2">
        <v>32613</v>
      </c>
      <c r="E8" s="2" t="s">
        <v>12</v>
      </c>
      <c r="F8" s="3">
        <v>45022</v>
      </c>
      <c r="G8" s="4" t="s">
        <v>30</v>
      </c>
      <c r="H8" s="2">
        <v>0</v>
      </c>
      <c r="I8" s="6">
        <v>34243.65</v>
      </c>
      <c r="J8" s="18">
        <v>19</v>
      </c>
    </row>
    <row r="9" spans="1:10" x14ac:dyDescent="0.3">
      <c r="A9" s="12">
        <v>108</v>
      </c>
      <c r="B9" s="1" t="s">
        <v>31</v>
      </c>
      <c r="C9" s="2" t="s">
        <v>23</v>
      </c>
      <c r="D9" s="2">
        <v>31212</v>
      </c>
      <c r="E9" s="2" t="s">
        <v>16</v>
      </c>
      <c r="F9" s="3">
        <v>45021</v>
      </c>
      <c r="G9" s="4" t="s">
        <v>32</v>
      </c>
      <c r="H9" s="2">
        <v>0</v>
      </c>
      <c r="I9" s="6">
        <v>32772.6</v>
      </c>
      <c r="J9" s="18">
        <v>19</v>
      </c>
    </row>
    <row r="10" spans="1:10" x14ac:dyDescent="0.3">
      <c r="A10" s="12">
        <v>109</v>
      </c>
      <c r="B10" s="1" t="s">
        <v>33</v>
      </c>
      <c r="C10" s="2" t="s">
        <v>11</v>
      </c>
      <c r="D10" s="2">
        <v>40827</v>
      </c>
      <c r="E10" s="2" t="s">
        <v>20</v>
      </c>
      <c r="F10" s="3">
        <v>45023</v>
      </c>
      <c r="G10" s="4" t="s">
        <v>34</v>
      </c>
      <c r="H10" s="2">
        <v>0</v>
      </c>
      <c r="I10" s="6">
        <v>42868.35</v>
      </c>
      <c r="J10" s="18">
        <v>19</v>
      </c>
    </row>
    <row r="11" spans="1:10" x14ac:dyDescent="0.3">
      <c r="A11" s="12">
        <v>110</v>
      </c>
      <c r="B11" s="1" t="s">
        <v>35</v>
      </c>
      <c r="C11" s="2" t="s">
        <v>15</v>
      </c>
      <c r="D11" s="2">
        <v>46116</v>
      </c>
      <c r="E11" s="2" t="s">
        <v>12</v>
      </c>
      <c r="F11" s="3">
        <v>45006</v>
      </c>
      <c r="G11" s="4" t="s">
        <v>36</v>
      </c>
      <c r="H11" s="2">
        <v>813294</v>
      </c>
      <c r="I11" s="6">
        <v>48421.8</v>
      </c>
      <c r="J11" s="18">
        <v>19</v>
      </c>
    </row>
    <row r="12" spans="1:10" x14ac:dyDescent="0.3">
      <c r="A12" s="12">
        <v>111</v>
      </c>
      <c r="B12" s="1" t="s">
        <v>37</v>
      </c>
      <c r="C12" s="2" t="s">
        <v>19</v>
      </c>
      <c r="D12" s="2">
        <v>46349</v>
      </c>
      <c r="E12" s="2" t="s">
        <v>16</v>
      </c>
      <c r="F12" s="3">
        <v>45105</v>
      </c>
      <c r="G12" s="4" t="s">
        <v>38</v>
      </c>
      <c r="H12" s="2">
        <v>0</v>
      </c>
      <c r="I12" s="6">
        <v>48666.450000000004</v>
      </c>
      <c r="J12" s="18">
        <v>19</v>
      </c>
    </row>
    <row r="13" spans="1:10" x14ac:dyDescent="0.3">
      <c r="A13" s="12">
        <v>112</v>
      </c>
      <c r="B13" s="1" t="s">
        <v>39</v>
      </c>
      <c r="C13" s="2" t="s">
        <v>23</v>
      </c>
      <c r="D13" s="2">
        <v>34847</v>
      </c>
      <c r="E13" s="2" t="s">
        <v>20</v>
      </c>
      <c r="F13" s="3">
        <v>45029</v>
      </c>
      <c r="G13" s="4" t="s">
        <v>40</v>
      </c>
      <c r="H13" s="2">
        <v>0</v>
      </c>
      <c r="I13" s="6">
        <v>36589.35</v>
      </c>
      <c r="J13" s="18">
        <v>19</v>
      </c>
    </row>
    <row r="14" spans="1:10" x14ac:dyDescent="0.3">
      <c r="A14" s="12">
        <v>113</v>
      </c>
      <c r="B14" s="1" t="s">
        <v>41</v>
      </c>
      <c r="C14" s="2" t="s">
        <v>11</v>
      </c>
      <c r="D14" s="2">
        <v>23670</v>
      </c>
      <c r="E14" s="2" t="s">
        <v>12</v>
      </c>
      <c r="F14" s="3">
        <v>45077</v>
      </c>
      <c r="G14" s="4" t="s">
        <v>13</v>
      </c>
      <c r="H14" s="2">
        <v>0</v>
      </c>
      <c r="I14" s="6">
        <v>24853.5</v>
      </c>
      <c r="J14" s="18">
        <v>19</v>
      </c>
    </row>
    <row r="15" spans="1:10" x14ac:dyDescent="0.3">
      <c r="A15" s="12">
        <v>114</v>
      </c>
      <c r="B15" s="1" t="s">
        <v>42</v>
      </c>
      <c r="C15" s="2" t="s">
        <v>15</v>
      </c>
      <c r="D15" s="2">
        <v>21951</v>
      </c>
      <c r="E15" s="2" t="s">
        <v>16</v>
      </c>
      <c r="F15" s="3">
        <v>45128</v>
      </c>
      <c r="G15" s="4" t="s">
        <v>17</v>
      </c>
      <c r="H15" s="2">
        <v>252597</v>
      </c>
      <c r="I15" s="6">
        <v>23048.55</v>
      </c>
      <c r="J15" s="18">
        <v>19</v>
      </c>
    </row>
    <row r="16" spans="1:10" x14ac:dyDescent="0.3">
      <c r="A16" s="12">
        <v>115</v>
      </c>
      <c r="B16" s="1" t="s">
        <v>43</v>
      </c>
      <c r="C16" s="2" t="s">
        <v>19</v>
      </c>
      <c r="D16" s="2">
        <v>48095</v>
      </c>
      <c r="E16" s="2" t="s">
        <v>20</v>
      </c>
      <c r="F16" s="3">
        <v>45102</v>
      </c>
      <c r="G16" s="4" t="s">
        <v>21</v>
      </c>
      <c r="H16" s="2">
        <v>0</v>
      </c>
      <c r="I16" s="6">
        <v>50499.75</v>
      </c>
      <c r="J16" s="18">
        <v>21</v>
      </c>
    </row>
    <row r="17" spans="1:10" x14ac:dyDescent="0.3">
      <c r="A17" s="12">
        <v>116</v>
      </c>
      <c r="B17" s="1" t="s">
        <v>44</v>
      </c>
      <c r="C17" s="2" t="s">
        <v>23</v>
      </c>
      <c r="D17" s="2">
        <v>39604</v>
      </c>
      <c r="E17" s="2" t="s">
        <v>12</v>
      </c>
      <c r="F17" s="3">
        <v>45039</v>
      </c>
      <c r="G17" s="4" t="s">
        <v>24</v>
      </c>
      <c r="H17" s="2">
        <v>0</v>
      </c>
      <c r="I17" s="6">
        <v>41584.200000000004</v>
      </c>
      <c r="J17" s="18">
        <v>21</v>
      </c>
    </row>
    <row r="18" spans="1:10" x14ac:dyDescent="0.3">
      <c r="A18" s="12">
        <v>117</v>
      </c>
      <c r="B18" s="1" t="s">
        <v>45</v>
      </c>
      <c r="C18" s="2" t="s">
        <v>11</v>
      </c>
      <c r="D18" s="2">
        <v>42771</v>
      </c>
      <c r="E18" s="2" t="s">
        <v>16</v>
      </c>
      <c r="F18" s="3">
        <v>45127</v>
      </c>
      <c r="G18" s="4" t="s">
        <v>26</v>
      </c>
      <c r="H18" s="2">
        <v>0</v>
      </c>
      <c r="I18" s="6">
        <v>44909.55</v>
      </c>
      <c r="J18" s="18">
        <v>21</v>
      </c>
    </row>
    <row r="19" spans="1:10" x14ac:dyDescent="0.3">
      <c r="A19" s="12">
        <v>118</v>
      </c>
      <c r="B19" s="1" t="s">
        <v>46</v>
      </c>
      <c r="C19" s="2" t="s">
        <v>15</v>
      </c>
      <c r="D19" s="2">
        <v>23368</v>
      </c>
      <c r="E19" s="2" t="s">
        <v>20</v>
      </c>
      <c r="F19" s="3">
        <v>45079</v>
      </c>
      <c r="G19" s="4" t="s">
        <v>28</v>
      </c>
      <c r="H19" s="2">
        <v>864644</v>
      </c>
      <c r="I19" s="6">
        <v>24536.400000000001</v>
      </c>
      <c r="J19" s="18">
        <v>21</v>
      </c>
    </row>
    <row r="20" spans="1:10" x14ac:dyDescent="0.3">
      <c r="A20" s="12">
        <v>119</v>
      </c>
      <c r="B20" s="1" t="s">
        <v>47</v>
      </c>
      <c r="C20" s="2" t="s">
        <v>19</v>
      </c>
      <c r="D20" s="2">
        <v>44168</v>
      </c>
      <c r="E20" s="2" t="s">
        <v>12</v>
      </c>
      <c r="F20" s="3">
        <v>45085</v>
      </c>
      <c r="G20" s="4" t="s">
        <v>30</v>
      </c>
      <c r="H20" s="2">
        <v>0</v>
      </c>
      <c r="I20" s="6">
        <v>46376.4</v>
      </c>
      <c r="J20" s="18">
        <v>21</v>
      </c>
    </row>
    <row r="21" spans="1:10" x14ac:dyDescent="0.3">
      <c r="A21" s="12">
        <v>120</v>
      </c>
      <c r="B21" s="1" t="s">
        <v>48</v>
      </c>
      <c r="C21" s="2" t="s">
        <v>23</v>
      </c>
      <c r="D21" s="2">
        <v>27872</v>
      </c>
      <c r="E21" s="2" t="s">
        <v>16</v>
      </c>
      <c r="F21" s="3">
        <v>45095</v>
      </c>
      <c r="G21" s="4" t="s">
        <v>32</v>
      </c>
      <c r="H21" s="2">
        <v>0</v>
      </c>
      <c r="I21" s="6">
        <v>29265.600000000002</v>
      </c>
      <c r="J21" s="18">
        <v>21</v>
      </c>
    </row>
    <row r="22" spans="1:10" x14ac:dyDescent="0.3">
      <c r="A22" s="12">
        <v>121</v>
      </c>
      <c r="B22" s="1" t="s">
        <v>49</v>
      </c>
      <c r="C22" s="2" t="s">
        <v>11</v>
      </c>
      <c r="D22" s="2">
        <v>46784</v>
      </c>
      <c r="E22" s="2" t="s">
        <v>20</v>
      </c>
      <c r="F22" s="3">
        <v>45013</v>
      </c>
      <c r="G22" s="4" t="s">
        <v>34</v>
      </c>
      <c r="H22" s="2">
        <v>0</v>
      </c>
      <c r="I22" s="6">
        <v>49123.200000000004</v>
      </c>
      <c r="J22" s="18">
        <v>21</v>
      </c>
    </row>
    <row r="23" spans="1:10" x14ac:dyDescent="0.3">
      <c r="A23" s="12">
        <v>122</v>
      </c>
      <c r="B23" s="1" t="s">
        <v>50</v>
      </c>
      <c r="C23" s="2" t="s">
        <v>15</v>
      </c>
      <c r="D23" s="2">
        <v>44403</v>
      </c>
      <c r="E23" s="2" t="s">
        <v>12</v>
      </c>
      <c r="F23" s="3">
        <v>45124</v>
      </c>
      <c r="G23" s="4" t="s">
        <v>36</v>
      </c>
      <c r="H23" s="2">
        <v>262778</v>
      </c>
      <c r="I23" s="6">
        <v>46623.15</v>
      </c>
      <c r="J23" s="18">
        <v>21</v>
      </c>
    </row>
    <row r="24" spans="1:10" x14ac:dyDescent="0.3">
      <c r="A24" s="12">
        <v>123</v>
      </c>
      <c r="B24" s="1" t="s">
        <v>51</v>
      </c>
      <c r="C24" s="2" t="s">
        <v>19</v>
      </c>
      <c r="D24" s="2">
        <v>48277</v>
      </c>
      <c r="E24" s="2" t="s">
        <v>16</v>
      </c>
      <c r="F24" s="3">
        <v>45107</v>
      </c>
      <c r="G24" s="4" t="s">
        <v>38</v>
      </c>
      <c r="H24" s="2">
        <v>0</v>
      </c>
      <c r="I24" s="6">
        <v>50690.85</v>
      </c>
      <c r="J24" s="18">
        <v>21</v>
      </c>
    </row>
    <row r="25" spans="1:10" x14ac:dyDescent="0.3">
      <c r="A25" s="12">
        <v>124</v>
      </c>
      <c r="B25" s="1" t="s">
        <v>52</v>
      </c>
      <c r="C25" s="2" t="s">
        <v>23</v>
      </c>
      <c r="D25" s="2">
        <v>39775</v>
      </c>
      <c r="E25" s="2" t="s">
        <v>20</v>
      </c>
      <c r="F25" s="3">
        <v>45045</v>
      </c>
      <c r="G25" s="4" t="s">
        <v>40</v>
      </c>
      <c r="H25" s="2">
        <v>0</v>
      </c>
      <c r="I25" s="6">
        <v>41763.75</v>
      </c>
      <c r="J25" s="18">
        <v>21</v>
      </c>
    </row>
    <row r="26" spans="1:10" x14ac:dyDescent="0.3">
      <c r="A26" s="12">
        <v>125</v>
      </c>
      <c r="B26" s="1" t="s">
        <v>53</v>
      </c>
      <c r="C26" s="2" t="s">
        <v>11</v>
      </c>
      <c r="D26" s="2">
        <v>38171</v>
      </c>
      <c r="E26" s="2" t="s">
        <v>12</v>
      </c>
      <c r="F26" s="3">
        <v>45126</v>
      </c>
      <c r="G26" s="4" t="s">
        <v>13</v>
      </c>
      <c r="H26" s="2">
        <v>0</v>
      </c>
      <c r="I26" s="6">
        <v>40079.550000000003</v>
      </c>
      <c r="J26" s="18">
        <v>21</v>
      </c>
    </row>
    <row r="27" spans="1:10" x14ac:dyDescent="0.3">
      <c r="A27" s="12">
        <v>126</v>
      </c>
      <c r="B27" s="1" t="s">
        <v>54</v>
      </c>
      <c r="C27" s="2" t="s">
        <v>15</v>
      </c>
      <c r="D27" s="2">
        <v>44610</v>
      </c>
      <c r="E27" s="2" t="s">
        <v>16</v>
      </c>
      <c r="F27" s="3">
        <v>45017</v>
      </c>
      <c r="G27" s="4" t="s">
        <v>17</v>
      </c>
      <c r="H27" s="2">
        <v>869013</v>
      </c>
      <c r="I27" s="6">
        <v>46840.5</v>
      </c>
      <c r="J27" s="18">
        <v>21</v>
      </c>
    </row>
    <row r="28" spans="1:10" x14ac:dyDescent="0.3">
      <c r="A28" s="12">
        <v>127</v>
      </c>
      <c r="B28" s="1" t="s">
        <v>55</v>
      </c>
      <c r="C28" s="2" t="s">
        <v>19</v>
      </c>
      <c r="D28" s="2">
        <v>49099</v>
      </c>
      <c r="E28" s="2" t="s">
        <v>20</v>
      </c>
      <c r="F28" s="3">
        <v>45017</v>
      </c>
      <c r="G28" s="4" t="s">
        <v>21</v>
      </c>
      <c r="H28" s="2">
        <v>0</v>
      </c>
      <c r="I28" s="6">
        <v>51553.950000000004</v>
      </c>
      <c r="J28" s="18">
        <v>21</v>
      </c>
    </row>
    <row r="29" spans="1:10" x14ac:dyDescent="0.3">
      <c r="A29" s="12">
        <v>128</v>
      </c>
      <c r="B29" s="1" t="s">
        <v>56</v>
      </c>
      <c r="C29" s="2" t="s">
        <v>23</v>
      </c>
      <c r="D29" s="2">
        <v>20868</v>
      </c>
      <c r="E29" s="2" t="s">
        <v>12</v>
      </c>
      <c r="F29" s="3">
        <v>45073</v>
      </c>
      <c r="G29" s="4" t="s">
        <v>24</v>
      </c>
      <c r="H29" s="2">
        <v>0</v>
      </c>
      <c r="I29" s="6">
        <v>21911.4</v>
      </c>
      <c r="J29" s="18">
        <v>21</v>
      </c>
    </row>
    <row r="30" spans="1:10" x14ac:dyDescent="0.3">
      <c r="A30" s="12">
        <v>129</v>
      </c>
      <c r="B30" s="1" t="s">
        <v>57</v>
      </c>
      <c r="C30" s="2" t="s">
        <v>11</v>
      </c>
      <c r="D30" s="2">
        <v>35361</v>
      </c>
      <c r="E30" s="2" t="s">
        <v>16</v>
      </c>
      <c r="F30" s="3">
        <v>45009</v>
      </c>
      <c r="G30" s="4" t="s">
        <v>26</v>
      </c>
      <c r="H30" s="2">
        <v>0</v>
      </c>
      <c r="I30" s="6">
        <v>37129.050000000003</v>
      </c>
      <c r="J30" s="18">
        <v>21</v>
      </c>
    </row>
    <row r="31" spans="1:10" x14ac:dyDescent="0.3">
      <c r="A31" s="12">
        <v>130</v>
      </c>
      <c r="B31" s="1" t="s">
        <v>58</v>
      </c>
      <c r="C31" s="2" t="s">
        <v>15</v>
      </c>
      <c r="D31" s="2">
        <v>35119</v>
      </c>
      <c r="E31" s="2" t="s">
        <v>20</v>
      </c>
      <c r="F31" s="3">
        <v>45100</v>
      </c>
      <c r="G31" s="4" t="s">
        <v>28</v>
      </c>
      <c r="H31" s="2">
        <v>341455</v>
      </c>
      <c r="I31" s="6">
        <v>36874.950000000004</v>
      </c>
      <c r="J31" s="18">
        <v>21</v>
      </c>
    </row>
    <row r="32" spans="1:10" x14ac:dyDescent="0.3">
      <c r="A32" s="12">
        <v>131</v>
      </c>
      <c r="B32" s="1" t="s">
        <v>59</v>
      </c>
      <c r="C32" s="2" t="s">
        <v>19</v>
      </c>
      <c r="D32" s="2">
        <v>24477</v>
      </c>
      <c r="E32" s="2" t="s">
        <v>12</v>
      </c>
      <c r="F32" s="3">
        <v>45045</v>
      </c>
      <c r="G32" s="4" t="s">
        <v>30</v>
      </c>
      <c r="H32" s="2">
        <v>0</v>
      </c>
      <c r="I32" s="6">
        <v>25700.850000000002</v>
      </c>
      <c r="J32" s="18">
        <v>21</v>
      </c>
    </row>
    <row r="33" spans="1:10" x14ac:dyDescent="0.3">
      <c r="A33" s="12">
        <v>132</v>
      </c>
      <c r="B33" s="1" t="s">
        <v>60</v>
      </c>
      <c r="C33" s="2" t="s">
        <v>23</v>
      </c>
      <c r="D33" s="2">
        <v>39823</v>
      </c>
      <c r="E33" s="2" t="s">
        <v>16</v>
      </c>
      <c r="F33" s="3">
        <v>45119</v>
      </c>
      <c r="G33" s="4" t="s">
        <v>32</v>
      </c>
      <c r="H33" s="2">
        <v>0</v>
      </c>
      <c r="I33" s="6">
        <v>41814.15</v>
      </c>
      <c r="J33" s="18">
        <v>21</v>
      </c>
    </row>
    <row r="34" spans="1:10" x14ac:dyDescent="0.3">
      <c r="A34" s="12">
        <v>133</v>
      </c>
      <c r="B34" s="1" t="s">
        <v>61</v>
      </c>
      <c r="C34" s="2" t="s">
        <v>11</v>
      </c>
      <c r="D34" s="2">
        <v>26744</v>
      </c>
      <c r="E34" s="2" t="s">
        <v>20</v>
      </c>
      <c r="F34" s="3">
        <v>45082</v>
      </c>
      <c r="G34" s="4" t="s">
        <v>34</v>
      </c>
      <c r="H34" s="2">
        <v>0</v>
      </c>
      <c r="I34" s="6">
        <v>28081.200000000001</v>
      </c>
      <c r="J34" s="18">
        <v>21</v>
      </c>
    </row>
    <row r="35" spans="1:10" x14ac:dyDescent="0.3">
      <c r="A35" s="12">
        <v>134</v>
      </c>
      <c r="B35" s="1" t="s">
        <v>62</v>
      </c>
      <c r="C35" s="2" t="s">
        <v>15</v>
      </c>
      <c r="D35" s="2">
        <v>30799</v>
      </c>
      <c r="E35" s="2" t="s">
        <v>12</v>
      </c>
      <c r="F35" s="3">
        <v>45105</v>
      </c>
      <c r="G35" s="4" t="s">
        <v>36</v>
      </c>
      <c r="H35" s="2">
        <v>427857</v>
      </c>
      <c r="I35" s="6">
        <v>32338.95</v>
      </c>
      <c r="J35" s="18">
        <v>21</v>
      </c>
    </row>
    <row r="36" spans="1:10" x14ac:dyDescent="0.3">
      <c r="A36" s="12">
        <v>135</v>
      </c>
      <c r="B36" s="1" t="s">
        <v>63</v>
      </c>
      <c r="C36" s="2" t="s">
        <v>19</v>
      </c>
      <c r="D36" s="2">
        <v>41094</v>
      </c>
      <c r="E36" s="2" t="s">
        <v>16</v>
      </c>
      <c r="F36" s="3">
        <v>45011</v>
      </c>
      <c r="G36" s="4" t="s">
        <v>38</v>
      </c>
      <c r="H36" s="2">
        <v>0</v>
      </c>
      <c r="I36" s="6">
        <v>43148.700000000004</v>
      </c>
      <c r="J36" s="18">
        <v>21</v>
      </c>
    </row>
    <row r="37" spans="1:10" x14ac:dyDescent="0.3">
      <c r="A37" s="12">
        <v>136</v>
      </c>
      <c r="B37" s="1" t="s">
        <v>64</v>
      </c>
      <c r="C37" s="2" t="s">
        <v>23</v>
      </c>
      <c r="D37" s="2">
        <v>32637</v>
      </c>
      <c r="E37" s="2" t="s">
        <v>20</v>
      </c>
      <c r="F37" s="3">
        <v>45059</v>
      </c>
      <c r="G37" s="4" t="s">
        <v>40</v>
      </c>
      <c r="H37" s="2">
        <v>0</v>
      </c>
      <c r="I37" s="6">
        <v>34268.85</v>
      </c>
      <c r="J37" s="18">
        <v>21</v>
      </c>
    </row>
    <row r="38" spans="1:10" x14ac:dyDescent="0.3">
      <c r="A38" s="12">
        <v>137</v>
      </c>
      <c r="B38" s="1" t="s">
        <v>65</v>
      </c>
      <c r="C38" s="2" t="s">
        <v>11</v>
      </c>
      <c r="D38" s="2">
        <v>49630</v>
      </c>
      <c r="E38" s="2" t="s">
        <v>12</v>
      </c>
      <c r="F38" s="3">
        <v>45062</v>
      </c>
      <c r="G38" s="4" t="s">
        <v>13</v>
      </c>
      <c r="H38" s="2">
        <v>0</v>
      </c>
      <c r="I38" s="6">
        <v>52111.5</v>
      </c>
      <c r="J38" s="18">
        <v>21</v>
      </c>
    </row>
    <row r="39" spans="1:10" x14ac:dyDescent="0.3">
      <c r="A39" s="12">
        <v>138</v>
      </c>
      <c r="B39" s="1" t="s">
        <v>66</v>
      </c>
      <c r="C39" s="2" t="s">
        <v>15</v>
      </c>
      <c r="D39" s="2">
        <v>30486</v>
      </c>
      <c r="E39" s="2" t="s">
        <v>16</v>
      </c>
      <c r="F39" s="3">
        <v>45122</v>
      </c>
      <c r="G39" s="4" t="s">
        <v>17</v>
      </c>
      <c r="H39" s="2">
        <v>393252</v>
      </c>
      <c r="I39" s="6">
        <v>32010.300000000003</v>
      </c>
      <c r="J39" s="18">
        <v>21</v>
      </c>
    </row>
    <row r="40" spans="1:10" x14ac:dyDescent="0.3">
      <c r="A40" s="12">
        <v>139</v>
      </c>
      <c r="B40" s="1" t="s">
        <v>67</v>
      </c>
      <c r="C40" s="2" t="s">
        <v>19</v>
      </c>
      <c r="D40" s="2">
        <v>24936</v>
      </c>
      <c r="E40" s="2" t="s">
        <v>20</v>
      </c>
      <c r="F40" s="3">
        <v>45109</v>
      </c>
      <c r="G40" s="4" t="s">
        <v>21</v>
      </c>
      <c r="H40" s="2">
        <v>0</v>
      </c>
      <c r="I40" s="6">
        <v>26182.800000000003</v>
      </c>
      <c r="J40" s="18">
        <v>21</v>
      </c>
    </row>
    <row r="41" spans="1:10" x14ac:dyDescent="0.3">
      <c r="A41" s="12">
        <v>140</v>
      </c>
      <c r="B41" s="1" t="s">
        <v>68</v>
      </c>
      <c r="C41" s="2" t="s">
        <v>23</v>
      </c>
      <c r="D41" s="2">
        <v>47658</v>
      </c>
      <c r="E41" s="2" t="s">
        <v>12</v>
      </c>
      <c r="F41" s="3">
        <v>45012</v>
      </c>
      <c r="G41" s="4" t="s">
        <v>24</v>
      </c>
      <c r="H41" s="2">
        <v>0</v>
      </c>
      <c r="I41" s="6">
        <v>50040.9</v>
      </c>
      <c r="J41" s="18">
        <v>21</v>
      </c>
    </row>
    <row r="42" spans="1:10" x14ac:dyDescent="0.3">
      <c r="A42" s="12">
        <v>141</v>
      </c>
      <c r="B42" s="1" t="s">
        <v>69</v>
      </c>
      <c r="C42" s="2" t="s">
        <v>11</v>
      </c>
      <c r="D42" s="2">
        <v>48091</v>
      </c>
      <c r="E42" s="2" t="s">
        <v>16</v>
      </c>
      <c r="F42" s="3">
        <v>45021</v>
      </c>
      <c r="G42" s="4" t="s">
        <v>26</v>
      </c>
      <c r="H42" s="2">
        <v>0</v>
      </c>
      <c r="I42" s="6">
        <v>50495.55</v>
      </c>
      <c r="J42" s="18">
        <v>21</v>
      </c>
    </row>
    <row r="43" spans="1:10" x14ac:dyDescent="0.3">
      <c r="A43" s="12">
        <v>142</v>
      </c>
      <c r="B43" s="1" t="s">
        <v>70</v>
      </c>
      <c r="C43" s="2" t="s">
        <v>15</v>
      </c>
      <c r="D43" s="2">
        <v>30519</v>
      </c>
      <c r="E43" s="2" t="s">
        <v>20</v>
      </c>
      <c r="F43" s="3">
        <v>45096</v>
      </c>
      <c r="G43" s="4" t="s">
        <v>28</v>
      </c>
      <c r="H43" s="2">
        <v>493584</v>
      </c>
      <c r="I43" s="6">
        <v>32044.95</v>
      </c>
      <c r="J43" s="18">
        <v>21</v>
      </c>
    </row>
    <row r="44" spans="1:10" x14ac:dyDescent="0.3">
      <c r="A44" s="12">
        <v>143</v>
      </c>
      <c r="B44" s="1" t="s">
        <v>71</v>
      </c>
      <c r="C44" s="2" t="s">
        <v>19</v>
      </c>
      <c r="D44" s="2">
        <v>24057</v>
      </c>
      <c r="E44" s="2" t="s">
        <v>12</v>
      </c>
      <c r="F44" s="3">
        <v>45085</v>
      </c>
      <c r="G44" s="4" t="s">
        <v>30</v>
      </c>
      <c r="H44" s="2">
        <v>0</v>
      </c>
      <c r="I44" s="6">
        <v>25259.850000000002</v>
      </c>
      <c r="J44" s="18">
        <v>21</v>
      </c>
    </row>
    <row r="45" spans="1:10" x14ac:dyDescent="0.3">
      <c r="A45" s="12">
        <v>144</v>
      </c>
      <c r="B45" s="1" t="s">
        <v>72</v>
      </c>
      <c r="C45" s="2" t="s">
        <v>23</v>
      </c>
      <c r="D45" s="2">
        <v>27781</v>
      </c>
      <c r="E45" s="2" t="s">
        <v>16</v>
      </c>
      <c r="F45" s="3">
        <v>45114</v>
      </c>
      <c r="G45" s="4" t="s">
        <v>32</v>
      </c>
      <c r="H45" s="2">
        <v>0</v>
      </c>
      <c r="I45" s="6">
        <v>29170.050000000003</v>
      </c>
      <c r="J45" s="18">
        <v>21</v>
      </c>
    </row>
    <row r="46" spans="1:10" x14ac:dyDescent="0.3">
      <c r="A46" s="12">
        <v>145</v>
      </c>
      <c r="B46" s="1" t="s">
        <v>73</v>
      </c>
      <c r="C46" s="2" t="s">
        <v>11</v>
      </c>
      <c r="D46" s="2">
        <v>40277</v>
      </c>
      <c r="E46" s="2" t="s">
        <v>20</v>
      </c>
      <c r="F46" s="3">
        <v>45006</v>
      </c>
      <c r="G46" s="4" t="s">
        <v>34</v>
      </c>
      <c r="H46" s="2">
        <v>0</v>
      </c>
      <c r="I46" s="6">
        <v>42290.85</v>
      </c>
      <c r="J46" s="18">
        <v>21</v>
      </c>
    </row>
    <row r="47" spans="1:10" x14ac:dyDescent="0.3">
      <c r="A47" s="12">
        <v>146</v>
      </c>
      <c r="B47" s="1" t="s">
        <v>74</v>
      </c>
      <c r="C47" s="2" t="s">
        <v>15</v>
      </c>
      <c r="D47" s="2">
        <v>31124</v>
      </c>
      <c r="E47" s="2" t="s">
        <v>12</v>
      </c>
      <c r="F47" s="3">
        <v>45062</v>
      </c>
      <c r="G47" s="4" t="s">
        <v>36</v>
      </c>
      <c r="H47" s="2">
        <v>560945</v>
      </c>
      <c r="I47" s="6">
        <v>32680.2</v>
      </c>
      <c r="J47" s="18">
        <v>21</v>
      </c>
    </row>
    <row r="48" spans="1:10" x14ac:dyDescent="0.3">
      <c r="A48" s="12">
        <v>147</v>
      </c>
      <c r="B48" s="1" t="s">
        <v>75</v>
      </c>
      <c r="C48" s="2" t="s">
        <v>19</v>
      </c>
      <c r="D48" s="2">
        <v>31589</v>
      </c>
      <c r="E48" s="2" t="s">
        <v>16</v>
      </c>
      <c r="F48" s="3">
        <v>45093</v>
      </c>
      <c r="G48" s="4" t="s">
        <v>38</v>
      </c>
      <c r="H48" s="2">
        <v>0</v>
      </c>
      <c r="I48" s="6">
        <v>33168.450000000004</v>
      </c>
      <c r="J48" s="18">
        <v>21</v>
      </c>
    </row>
    <row r="49" spans="1:10" x14ac:dyDescent="0.3">
      <c r="A49" s="12">
        <v>148</v>
      </c>
      <c r="B49" s="1" t="s">
        <v>76</v>
      </c>
      <c r="C49" s="2" t="s">
        <v>23</v>
      </c>
      <c r="D49" s="2">
        <v>33233</v>
      </c>
      <c r="E49" s="2" t="s">
        <v>20</v>
      </c>
      <c r="F49" s="3">
        <v>45116</v>
      </c>
      <c r="G49" s="4" t="s">
        <v>40</v>
      </c>
      <c r="H49" s="2">
        <v>0</v>
      </c>
      <c r="I49" s="6">
        <v>34894.65</v>
      </c>
      <c r="J49" s="18">
        <v>6</v>
      </c>
    </row>
    <row r="50" spans="1:10" x14ac:dyDescent="0.3">
      <c r="A50" s="12">
        <v>149</v>
      </c>
      <c r="B50" s="1" t="s">
        <v>77</v>
      </c>
      <c r="C50" s="2" t="s">
        <v>11</v>
      </c>
      <c r="D50" s="2">
        <v>30769</v>
      </c>
      <c r="E50" s="2" t="s">
        <v>12</v>
      </c>
      <c r="F50" s="3">
        <v>45080</v>
      </c>
      <c r="G50" s="4" t="s">
        <v>13</v>
      </c>
      <c r="H50" s="2">
        <v>0</v>
      </c>
      <c r="I50" s="6">
        <v>32307.45</v>
      </c>
      <c r="J50" s="18">
        <v>6</v>
      </c>
    </row>
    <row r="51" spans="1:10" x14ac:dyDescent="0.3">
      <c r="A51" s="12">
        <v>150</v>
      </c>
      <c r="B51" s="1" t="s">
        <v>78</v>
      </c>
      <c r="C51" s="2" t="s">
        <v>15</v>
      </c>
      <c r="D51" s="2">
        <v>23948</v>
      </c>
      <c r="E51" s="2" t="s">
        <v>16</v>
      </c>
      <c r="F51" s="3">
        <v>45092</v>
      </c>
      <c r="G51" s="4" t="s">
        <v>17</v>
      </c>
      <c r="H51" s="2">
        <v>495683</v>
      </c>
      <c r="I51" s="6">
        <v>25145.4</v>
      </c>
      <c r="J51" s="18">
        <v>6</v>
      </c>
    </row>
    <row r="52" spans="1:10" x14ac:dyDescent="0.3">
      <c r="A52" s="12">
        <v>151</v>
      </c>
      <c r="B52" s="1" t="s">
        <v>79</v>
      </c>
      <c r="C52" s="2" t="s">
        <v>19</v>
      </c>
      <c r="D52" s="2">
        <v>23337</v>
      </c>
      <c r="E52" s="2" t="s">
        <v>20</v>
      </c>
      <c r="F52" s="3">
        <v>45115</v>
      </c>
      <c r="G52" s="4" t="s">
        <v>21</v>
      </c>
      <c r="H52" s="2">
        <v>0</v>
      </c>
      <c r="I52" s="6">
        <v>24503.850000000002</v>
      </c>
      <c r="J52" s="18">
        <v>6</v>
      </c>
    </row>
    <row r="53" spans="1:10" x14ac:dyDescent="0.3">
      <c r="A53" s="12">
        <v>152</v>
      </c>
      <c r="B53" s="1" t="s">
        <v>80</v>
      </c>
      <c r="C53" s="2" t="s">
        <v>23</v>
      </c>
      <c r="D53" s="2">
        <v>34528</v>
      </c>
      <c r="E53" s="2" t="s">
        <v>12</v>
      </c>
      <c r="F53" s="3">
        <v>45071</v>
      </c>
      <c r="G53" s="4" t="s">
        <v>24</v>
      </c>
      <c r="H53" s="2">
        <v>0</v>
      </c>
      <c r="I53" s="6">
        <v>36254.400000000001</v>
      </c>
      <c r="J53" s="18">
        <v>6</v>
      </c>
    </row>
    <row r="54" spans="1:10" x14ac:dyDescent="0.3">
      <c r="A54" s="12">
        <v>153</v>
      </c>
      <c r="B54" s="1" t="s">
        <v>81</v>
      </c>
      <c r="C54" s="2" t="s">
        <v>11</v>
      </c>
      <c r="D54" s="2">
        <v>48999</v>
      </c>
      <c r="E54" s="2" t="s">
        <v>16</v>
      </c>
      <c r="F54" s="3">
        <v>45027</v>
      </c>
      <c r="G54" s="4" t="s">
        <v>26</v>
      </c>
      <c r="H54" s="2">
        <v>0</v>
      </c>
      <c r="I54" s="6">
        <v>51448.950000000004</v>
      </c>
      <c r="J54" s="18">
        <v>6</v>
      </c>
    </row>
    <row r="55" spans="1:10" x14ac:dyDescent="0.3">
      <c r="A55" s="12">
        <v>154</v>
      </c>
      <c r="B55" s="1" t="s">
        <v>82</v>
      </c>
      <c r="C55" s="2" t="s">
        <v>15</v>
      </c>
      <c r="D55" s="2">
        <v>23084</v>
      </c>
      <c r="E55" s="2" t="s">
        <v>20</v>
      </c>
      <c r="F55" s="3">
        <v>45061</v>
      </c>
      <c r="G55" s="4" t="s">
        <v>28</v>
      </c>
      <c r="H55" s="2">
        <v>902063</v>
      </c>
      <c r="I55" s="6">
        <v>24238.2</v>
      </c>
      <c r="J55" s="18">
        <v>6</v>
      </c>
    </row>
    <row r="56" spans="1:10" x14ac:dyDescent="0.3">
      <c r="A56" s="12">
        <v>155</v>
      </c>
      <c r="B56" s="1" t="s">
        <v>83</v>
      </c>
      <c r="C56" s="2" t="s">
        <v>19</v>
      </c>
      <c r="D56" s="2">
        <v>49780</v>
      </c>
      <c r="E56" s="2" t="s">
        <v>12</v>
      </c>
      <c r="F56" s="3">
        <v>45044</v>
      </c>
      <c r="G56" s="4" t="s">
        <v>30</v>
      </c>
      <c r="H56" s="2">
        <v>0</v>
      </c>
      <c r="I56" s="6">
        <v>52269</v>
      </c>
      <c r="J56" s="18">
        <v>22</v>
      </c>
    </row>
    <row r="57" spans="1:10" x14ac:dyDescent="0.3">
      <c r="A57" s="12">
        <v>156</v>
      </c>
      <c r="B57" s="1" t="s">
        <v>84</v>
      </c>
      <c r="C57" s="2" t="s">
        <v>23</v>
      </c>
      <c r="D57" s="2">
        <v>27874</v>
      </c>
      <c r="E57" s="2" t="s">
        <v>16</v>
      </c>
      <c r="F57" s="3">
        <v>45123</v>
      </c>
      <c r="G57" s="4" t="s">
        <v>32</v>
      </c>
      <c r="H57" s="2">
        <v>0</v>
      </c>
      <c r="I57" s="6">
        <v>29267.7</v>
      </c>
      <c r="J57" s="18">
        <v>5</v>
      </c>
    </row>
    <row r="58" spans="1:10" x14ac:dyDescent="0.3">
      <c r="A58" s="12">
        <v>157</v>
      </c>
      <c r="B58" s="1" t="s">
        <v>85</v>
      </c>
      <c r="C58" s="2" t="s">
        <v>11</v>
      </c>
      <c r="D58" s="2">
        <v>38786</v>
      </c>
      <c r="E58" s="2" t="s">
        <v>20</v>
      </c>
      <c r="F58" s="3">
        <v>45014</v>
      </c>
      <c r="G58" s="4" t="s">
        <v>34</v>
      </c>
      <c r="H58" s="2">
        <v>0</v>
      </c>
      <c r="I58" s="6">
        <v>40725.300000000003</v>
      </c>
      <c r="J58" s="18">
        <v>5</v>
      </c>
    </row>
    <row r="59" spans="1:10" x14ac:dyDescent="0.3">
      <c r="A59" s="12">
        <v>158</v>
      </c>
      <c r="B59" s="1" t="s">
        <v>86</v>
      </c>
      <c r="C59" s="2" t="s">
        <v>15</v>
      </c>
      <c r="D59" s="2">
        <v>37648</v>
      </c>
      <c r="E59" s="2" t="s">
        <v>12</v>
      </c>
      <c r="F59" s="3">
        <v>45093</v>
      </c>
      <c r="G59" s="4" t="s">
        <v>36</v>
      </c>
      <c r="H59" s="2">
        <v>602690</v>
      </c>
      <c r="I59" s="6">
        <v>39530.400000000001</v>
      </c>
      <c r="J59" s="18">
        <v>5</v>
      </c>
    </row>
    <row r="60" spans="1:10" x14ac:dyDescent="0.3">
      <c r="A60" s="12">
        <v>159</v>
      </c>
      <c r="B60" s="1" t="s">
        <v>87</v>
      </c>
      <c r="C60" s="2" t="s">
        <v>19</v>
      </c>
      <c r="D60" s="2">
        <v>26543</v>
      </c>
      <c r="E60" s="2" t="s">
        <v>16</v>
      </c>
      <c r="F60" s="3">
        <v>45099</v>
      </c>
      <c r="G60" s="4" t="s">
        <v>38</v>
      </c>
      <c r="H60" s="2">
        <v>0</v>
      </c>
      <c r="I60" s="6">
        <v>27870.15</v>
      </c>
      <c r="J60" s="18">
        <v>5</v>
      </c>
    </row>
    <row r="61" spans="1:10" x14ac:dyDescent="0.3">
      <c r="A61" s="12">
        <v>160</v>
      </c>
      <c r="B61" s="1" t="s">
        <v>88</v>
      </c>
      <c r="C61" s="2" t="s">
        <v>23</v>
      </c>
      <c r="D61" s="2">
        <v>33432</v>
      </c>
      <c r="E61" s="2" t="s">
        <v>20</v>
      </c>
      <c r="F61" s="3">
        <v>45012</v>
      </c>
      <c r="G61" s="4" t="s">
        <v>40</v>
      </c>
      <c r="H61" s="2">
        <v>0</v>
      </c>
      <c r="I61" s="6">
        <v>35103.599999999999</v>
      </c>
      <c r="J61" s="18">
        <v>5</v>
      </c>
    </row>
    <row r="62" spans="1:10" x14ac:dyDescent="0.3">
      <c r="A62" s="12">
        <v>161</v>
      </c>
      <c r="B62" s="1" t="s">
        <v>89</v>
      </c>
      <c r="C62" s="2" t="s">
        <v>11</v>
      </c>
      <c r="D62" s="2">
        <v>33370</v>
      </c>
      <c r="E62" s="2" t="s">
        <v>12</v>
      </c>
      <c r="F62" s="3">
        <v>45088</v>
      </c>
      <c r="G62" s="4" t="s">
        <v>13</v>
      </c>
      <c r="H62" s="2">
        <v>0</v>
      </c>
      <c r="I62" s="6">
        <v>35038.5</v>
      </c>
      <c r="J62" s="18">
        <v>5</v>
      </c>
    </row>
    <row r="63" spans="1:10" x14ac:dyDescent="0.3">
      <c r="A63" s="12">
        <v>162</v>
      </c>
      <c r="B63" s="7" t="s">
        <v>90</v>
      </c>
      <c r="C63" s="2" t="s">
        <v>15</v>
      </c>
      <c r="D63" s="2">
        <v>27953</v>
      </c>
      <c r="E63" s="2" t="s">
        <v>16</v>
      </c>
      <c r="F63" s="3">
        <v>45025</v>
      </c>
      <c r="G63" s="4" t="s">
        <v>17</v>
      </c>
      <c r="H63" s="2">
        <v>302407</v>
      </c>
      <c r="I63" s="6">
        <v>29350.65</v>
      </c>
      <c r="J63" s="18">
        <v>5</v>
      </c>
    </row>
    <row r="64" spans="1:10" x14ac:dyDescent="0.3">
      <c r="A64" s="12">
        <v>163</v>
      </c>
      <c r="B64" s="7" t="s">
        <v>91</v>
      </c>
      <c r="C64" s="2" t="s">
        <v>19</v>
      </c>
      <c r="D64" s="2">
        <v>39023</v>
      </c>
      <c r="E64" s="2" t="s">
        <v>20</v>
      </c>
      <c r="F64" s="3">
        <v>45094</v>
      </c>
      <c r="G64" s="4" t="s">
        <v>21</v>
      </c>
      <c r="H64" s="2">
        <v>0</v>
      </c>
      <c r="I64" s="6">
        <v>40974.15</v>
      </c>
      <c r="J64" s="18">
        <v>5</v>
      </c>
    </row>
    <row r="65" spans="1:10" x14ac:dyDescent="0.3">
      <c r="A65" s="12">
        <v>164</v>
      </c>
      <c r="B65" s="7" t="s">
        <v>92</v>
      </c>
      <c r="C65" s="2" t="s">
        <v>23</v>
      </c>
      <c r="D65" s="2">
        <v>22442</v>
      </c>
      <c r="E65" s="2" t="s">
        <v>12</v>
      </c>
      <c r="F65" s="3">
        <v>45122</v>
      </c>
      <c r="G65" s="4" t="s">
        <v>24</v>
      </c>
      <c r="H65" s="2">
        <v>0</v>
      </c>
      <c r="I65" s="6">
        <v>23564.100000000002</v>
      </c>
      <c r="J65" s="18">
        <v>5</v>
      </c>
    </row>
    <row r="66" spans="1:10" x14ac:dyDescent="0.3">
      <c r="A66" s="12">
        <v>165</v>
      </c>
      <c r="B66" s="7" t="s">
        <v>93</v>
      </c>
      <c r="C66" s="2" t="s">
        <v>11</v>
      </c>
      <c r="D66" s="2">
        <v>39972</v>
      </c>
      <c r="E66" s="2" t="s">
        <v>16</v>
      </c>
      <c r="F66" s="3">
        <v>45098</v>
      </c>
      <c r="G66" s="4" t="s">
        <v>26</v>
      </c>
      <c r="H66" s="2">
        <v>0</v>
      </c>
      <c r="I66" s="6">
        <v>41970.6</v>
      </c>
      <c r="J66" s="18">
        <v>5</v>
      </c>
    </row>
    <row r="67" spans="1:10" x14ac:dyDescent="0.3">
      <c r="A67" s="12">
        <v>166</v>
      </c>
      <c r="B67" s="7" t="s">
        <v>94</v>
      </c>
      <c r="C67" s="2" t="s">
        <v>15</v>
      </c>
      <c r="D67" s="2">
        <v>30231</v>
      </c>
      <c r="E67" s="2" t="s">
        <v>20</v>
      </c>
      <c r="F67" s="3">
        <v>45020</v>
      </c>
      <c r="G67" s="4" t="s">
        <v>28</v>
      </c>
      <c r="H67" s="2">
        <v>747356</v>
      </c>
      <c r="I67" s="6">
        <v>31742.550000000003</v>
      </c>
      <c r="J67" s="18">
        <v>5</v>
      </c>
    </row>
    <row r="68" spans="1:10" x14ac:dyDescent="0.3">
      <c r="A68" s="12">
        <v>167</v>
      </c>
      <c r="B68" s="7" t="s">
        <v>95</v>
      </c>
      <c r="C68" s="2" t="s">
        <v>19</v>
      </c>
      <c r="D68" s="2">
        <v>21452</v>
      </c>
      <c r="E68" s="2" t="s">
        <v>12</v>
      </c>
      <c r="F68" s="3">
        <v>45116</v>
      </c>
      <c r="G68" s="4" t="s">
        <v>30</v>
      </c>
      <c r="H68" s="2">
        <v>0</v>
      </c>
      <c r="I68" s="6">
        <v>22524.600000000002</v>
      </c>
      <c r="J68" s="18">
        <v>5</v>
      </c>
    </row>
    <row r="69" spans="1:10" x14ac:dyDescent="0.3">
      <c r="A69" s="12">
        <v>168</v>
      </c>
      <c r="B69" s="7" t="s">
        <v>96</v>
      </c>
      <c r="C69" s="2" t="s">
        <v>23</v>
      </c>
      <c r="D69" s="2">
        <v>26430</v>
      </c>
      <c r="E69" s="2" t="s">
        <v>16</v>
      </c>
      <c r="F69" s="3">
        <v>45112</v>
      </c>
      <c r="G69" s="4" t="s">
        <v>32</v>
      </c>
      <c r="H69" s="2">
        <v>0</v>
      </c>
      <c r="I69" s="6">
        <v>27751.5</v>
      </c>
      <c r="J69" s="18">
        <v>5</v>
      </c>
    </row>
    <row r="70" spans="1:10" x14ac:dyDescent="0.3">
      <c r="A70" s="12">
        <v>169</v>
      </c>
      <c r="B70" s="7" t="s">
        <v>97</v>
      </c>
      <c r="C70" s="2" t="s">
        <v>11</v>
      </c>
      <c r="D70" s="2">
        <v>43489</v>
      </c>
      <c r="E70" s="2" t="s">
        <v>20</v>
      </c>
      <c r="F70" s="3">
        <v>45037</v>
      </c>
      <c r="G70" s="4" t="s">
        <v>34</v>
      </c>
      <c r="H70" s="2">
        <v>0</v>
      </c>
      <c r="I70" s="6">
        <v>45663.450000000004</v>
      </c>
      <c r="J70" s="18">
        <v>5</v>
      </c>
    </row>
    <row r="71" spans="1:10" x14ac:dyDescent="0.3">
      <c r="A71" s="12">
        <v>170</v>
      </c>
      <c r="B71" s="7" t="s">
        <v>98</v>
      </c>
      <c r="C71" s="2" t="s">
        <v>15</v>
      </c>
      <c r="D71" s="2">
        <v>29916</v>
      </c>
      <c r="E71" s="2" t="s">
        <v>12</v>
      </c>
      <c r="F71" s="3">
        <v>45002</v>
      </c>
      <c r="G71" s="4" t="s">
        <v>36</v>
      </c>
      <c r="H71" s="2">
        <v>297772</v>
      </c>
      <c r="I71" s="6">
        <v>31411.800000000003</v>
      </c>
      <c r="J71" s="18">
        <v>5</v>
      </c>
    </row>
    <row r="72" spans="1:10" x14ac:dyDescent="0.3">
      <c r="A72" s="12">
        <v>171</v>
      </c>
      <c r="B72" s="7" t="s">
        <v>99</v>
      </c>
      <c r="C72" s="2" t="s">
        <v>19</v>
      </c>
      <c r="D72" s="2">
        <v>41601</v>
      </c>
      <c r="E72" s="2" t="s">
        <v>16</v>
      </c>
      <c r="F72" s="3">
        <v>45116</v>
      </c>
      <c r="G72" s="4" t="s">
        <v>38</v>
      </c>
      <c r="H72" s="2">
        <v>0</v>
      </c>
      <c r="I72" s="6">
        <v>43681.05</v>
      </c>
      <c r="J72" s="18">
        <v>5</v>
      </c>
    </row>
    <row r="73" spans="1:10" x14ac:dyDescent="0.3">
      <c r="A73" s="13">
        <v>172</v>
      </c>
      <c r="B73" s="8" t="s">
        <v>100</v>
      </c>
      <c r="C73" s="9" t="s">
        <v>23</v>
      </c>
      <c r="D73" s="9">
        <v>21852</v>
      </c>
      <c r="E73" s="9" t="s">
        <v>20</v>
      </c>
      <c r="F73" s="10">
        <v>45067</v>
      </c>
      <c r="G73" s="11" t="s">
        <v>40</v>
      </c>
      <c r="H73" s="9">
        <v>0</v>
      </c>
      <c r="I73" s="6">
        <v>22944.600000000002</v>
      </c>
      <c r="J73" s="18">
        <v>5</v>
      </c>
    </row>
  </sheetData>
  <conditionalFormatting sqref="A1:A73">
    <cfRule type="duplicateValues" dxfId="1" priority="2"/>
  </conditionalFormatting>
  <conditionalFormatting sqref="B1:B73">
    <cfRule type="duplicateValues" dxfId="0" priority="1"/>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8781E-305C-4178-94B5-DD0A71F893AB}">
  <dimension ref="A1"/>
  <sheetViews>
    <sheetView showGridLines="0" tabSelected="1" workbookViewId="0">
      <selection activeCell="A8" sqref="A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DE42C-05A3-42BD-99E4-E993E11C657D}">
  <dimension ref="B2:C67"/>
  <sheetViews>
    <sheetView topLeftCell="A52" workbookViewId="0">
      <selection activeCell="I52" sqref="I52"/>
    </sheetView>
  </sheetViews>
  <sheetFormatPr defaultRowHeight="14.4" x14ac:dyDescent="0.3"/>
  <cols>
    <col min="2" max="2" width="12.5546875" bestFit="1" customWidth="1"/>
    <col min="3" max="3" width="11.109375" bestFit="1" customWidth="1"/>
  </cols>
  <sheetData>
    <row r="2" spans="2:3" x14ac:dyDescent="0.3">
      <c r="B2" s="19" t="s">
        <v>101</v>
      </c>
      <c r="C2" t="s">
        <v>103</v>
      </c>
    </row>
    <row r="3" spans="2:3" x14ac:dyDescent="0.3">
      <c r="B3" s="20" t="s">
        <v>23</v>
      </c>
      <c r="C3">
        <v>578591</v>
      </c>
    </row>
    <row r="4" spans="2:3" x14ac:dyDescent="0.3">
      <c r="B4" s="20" t="s">
        <v>11</v>
      </c>
      <c r="C4">
        <v>690021</v>
      </c>
    </row>
    <row r="5" spans="2:3" x14ac:dyDescent="0.3">
      <c r="B5" s="20" t="s">
        <v>15</v>
      </c>
      <c r="C5">
        <v>568459</v>
      </c>
    </row>
    <row r="6" spans="2:3" x14ac:dyDescent="0.3">
      <c r="B6" s="20" t="s">
        <v>19</v>
      </c>
      <c r="C6">
        <v>649002</v>
      </c>
    </row>
    <row r="7" spans="2:3" x14ac:dyDescent="0.3">
      <c r="B7" s="20" t="s">
        <v>102</v>
      </c>
      <c r="C7">
        <v>2486073</v>
      </c>
    </row>
    <row r="19" spans="2:3" x14ac:dyDescent="0.3">
      <c r="B19" s="19" t="s">
        <v>101</v>
      </c>
      <c r="C19" t="s">
        <v>103</v>
      </c>
    </row>
    <row r="20" spans="2:3" x14ac:dyDescent="0.3">
      <c r="B20" s="20" t="s">
        <v>20</v>
      </c>
      <c r="C20">
        <v>815173</v>
      </c>
    </row>
    <row r="21" spans="2:3" x14ac:dyDescent="0.3">
      <c r="B21" s="20" t="s">
        <v>16</v>
      </c>
      <c r="C21">
        <v>844009</v>
      </c>
    </row>
    <row r="22" spans="2:3" x14ac:dyDescent="0.3">
      <c r="B22" s="20" t="s">
        <v>12</v>
      </c>
      <c r="C22">
        <v>826891</v>
      </c>
    </row>
    <row r="23" spans="2:3" x14ac:dyDescent="0.3">
      <c r="B23" s="20" t="s">
        <v>102</v>
      </c>
      <c r="C23">
        <v>2486073</v>
      </c>
    </row>
    <row r="34" spans="2:3" x14ac:dyDescent="0.3">
      <c r="B34" s="19" t="s">
        <v>101</v>
      </c>
      <c r="C34" t="s">
        <v>104</v>
      </c>
    </row>
    <row r="35" spans="2:3" x14ac:dyDescent="0.3">
      <c r="B35" s="20" t="s">
        <v>40</v>
      </c>
      <c r="C35">
        <v>0</v>
      </c>
    </row>
    <row r="36" spans="2:3" x14ac:dyDescent="0.3">
      <c r="B36" s="20" t="s">
        <v>32</v>
      </c>
      <c r="C36">
        <v>0</v>
      </c>
    </row>
    <row r="37" spans="2:3" x14ac:dyDescent="0.3">
      <c r="B37" s="20" t="s">
        <v>24</v>
      </c>
      <c r="C37">
        <v>0</v>
      </c>
    </row>
    <row r="38" spans="2:3" x14ac:dyDescent="0.3">
      <c r="B38" s="20" t="s">
        <v>34</v>
      </c>
      <c r="C38">
        <v>0</v>
      </c>
    </row>
    <row r="39" spans="2:3" x14ac:dyDescent="0.3">
      <c r="B39" s="20" t="s">
        <v>26</v>
      </c>
      <c r="C39">
        <v>0</v>
      </c>
    </row>
    <row r="40" spans="2:3" x14ac:dyDescent="0.3">
      <c r="B40" s="20" t="s">
        <v>13</v>
      </c>
      <c r="C40">
        <v>0</v>
      </c>
    </row>
    <row r="41" spans="2:3" x14ac:dyDescent="0.3">
      <c r="B41" s="20" t="s">
        <v>28</v>
      </c>
      <c r="C41">
        <v>4194677</v>
      </c>
    </row>
    <row r="42" spans="2:3" x14ac:dyDescent="0.3">
      <c r="B42" s="20" t="s">
        <v>17</v>
      </c>
      <c r="C42">
        <v>2640416</v>
      </c>
    </row>
    <row r="43" spans="2:3" x14ac:dyDescent="0.3">
      <c r="B43" s="20" t="s">
        <v>36</v>
      </c>
      <c r="C43">
        <v>2965336</v>
      </c>
    </row>
    <row r="44" spans="2:3" x14ac:dyDescent="0.3">
      <c r="B44" s="20" t="s">
        <v>21</v>
      </c>
      <c r="C44">
        <v>0</v>
      </c>
    </row>
    <row r="45" spans="2:3" x14ac:dyDescent="0.3">
      <c r="B45" s="20" t="s">
        <v>38</v>
      </c>
      <c r="C45">
        <v>0</v>
      </c>
    </row>
    <row r="46" spans="2:3" x14ac:dyDescent="0.3">
      <c r="B46" s="20" t="s">
        <v>30</v>
      </c>
      <c r="C46">
        <v>0</v>
      </c>
    </row>
    <row r="47" spans="2:3" x14ac:dyDescent="0.3">
      <c r="B47" s="20" t="s">
        <v>102</v>
      </c>
      <c r="C47">
        <v>9800429</v>
      </c>
    </row>
    <row r="62" spans="2:3" x14ac:dyDescent="0.3">
      <c r="B62" s="19" t="s">
        <v>101</v>
      </c>
      <c r="C62" t="s">
        <v>105</v>
      </c>
    </row>
    <row r="63" spans="2:3" x14ac:dyDescent="0.3">
      <c r="B63" s="20" t="s">
        <v>23</v>
      </c>
      <c r="C63" s="21">
        <v>607520.55000000005</v>
      </c>
    </row>
    <row r="64" spans="2:3" x14ac:dyDescent="0.3">
      <c r="B64" s="20" t="s">
        <v>11</v>
      </c>
      <c r="C64" s="21">
        <v>729457.79999999993</v>
      </c>
    </row>
    <row r="65" spans="2:3" x14ac:dyDescent="0.3">
      <c r="B65" s="20" t="s">
        <v>15</v>
      </c>
      <c r="C65" s="21">
        <v>596881.95000000019</v>
      </c>
    </row>
    <row r="66" spans="2:3" x14ac:dyDescent="0.3">
      <c r="B66" s="20" t="s">
        <v>19</v>
      </c>
      <c r="C66" s="21">
        <v>681452.1</v>
      </c>
    </row>
    <row r="67" spans="2:3" x14ac:dyDescent="0.3">
      <c r="B67" s="20" t="s">
        <v>102</v>
      </c>
      <c r="C67" s="21">
        <v>2615312.4000000004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Data</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Rahul Mathur</cp:lastModifiedBy>
  <dcterms:created xsi:type="dcterms:W3CDTF">2023-08-06T02:16:05Z</dcterms:created>
  <dcterms:modified xsi:type="dcterms:W3CDTF">2026-05-22T19:23:03Z</dcterms:modified>
</cp:coreProperties>
</file>